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kshtj\Documents\Step1 Advisors\"/>
    </mc:Choice>
  </mc:AlternateContent>
  <xr:revisionPtr revIDLastSave="0" documentId="8_{0C14B6AF-F653-4501-A0C7-4BDA6345AB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 &amp; Memo" sheetId="1" r:id="rId1"/>
    <sheet name="Testing Grid" sheetId="2" r:id="rId2"/>
    <sheet name="CGU-C Sensitivity" sheetId="3" r:id="rId3"/>
    <sheet name="Proposed AJ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8" i="1"/>
  <c r="D16" i="1"/>
  <c r="F10" i="4"/>
  <c r="E10" i="4"/>
  <c r="J11" i="2"/>
  <c r="J10" i="2"/>
  <c r="J9" i="2"/>
  <c r="C19" i="1"/>
  <c r="F18" i="1"/>
  <c r="E18" i="1"/>
  <c r="F17" i="1"/>
  <c r="E17" i="1"/>
  <c r="F16" i="1"/>
  <c r="F19" i="1" s="1"/>
  <c r="E16" i="1"/>
  <c r="E19" i="1" s="1"/>
  <c r="D19" i="1" l="1"/>
</calcChain>
</file>

<file path=xl/sharedStrings.xml><?xml version="1.0" encoding="utf-8"?>
<sst xmlns="http://schemas.openxmlformats.org/spreadsheetml/2006/main" count="96" uniqueCount="88">
  <si>
    <t>For reference only - Data does not pertain to specific client</t>
  </si>
  <si>
    <t>AUDIT WORKPAPER: GOODWILL &amp; INTANGIBLE ASSET IMPAIRMENT REVIEW</t>
  </si>
  <si>
    <t>WP Reference: E-1.0 | Standard: IAS 36 / ASC 350</t>
  </si>
  <si>
    <t>Client Name:</t>
  </si>
  <si>
    <t>Step 1 Advisors pvt ltd</t>
  </si>
  <si>
    <t>Financial Year Ended:</t>
  </si>
  <si>
    <t>December 31, 2025</t>
  </si>
  <si>
    <t>Audit Area:</t>
  </si>
  <si>
    <t>Annual Impairment Testing of Goodwill &amp; Intangibles</t>
  </si>
  <si>
    <t>Prepared By (Senior Associate):</t>
  </si>
  <si>
    <t>CPA - Date: Jan 12, 2026</t>
  </si>
  <si>
    <t>Reviewed By (Audit Manager):</t>
  </si>
  <si>
    <t>CA - Date: Jan 16, 2026</t>
  </si>
  <si>
    <t>Engagement Status:</t>
  </si>
  <si>
    <t>REVIEW COMPLETED - PROPOSED ADJUSTMENT IDENTIFIED</t>
  </si>
  <si>
    <t>1. Executive Summary of Testing Results</t>
  </si>
  <si>
    <t>Cash-Generating Unit (CGU)</t>
  </si>
  <si>
    <t>Carrying Value ($)</t>
  </si>
  <si>
    <t>Mgt VIU ($)</t>
  </si>
  <si>
    <t>Audited VIU ($)</t>
  </si>
  <si>
    <t>Headroom / (Deficit) ($)</t>
  </si>
  <si>
    <t>Audit Conclusion</t>
  </si>
  <si>
    <t>CGU A: Software Solutions</t>
  </si>
  <si>
    <t>PASSED</t>
  </si>
  <si>
    <t>CGU B: Hardware Tech</t>
  </si>
  <si>
    <t>PASSED (Sens. Req.)</t>
  </si>
  <si>
    <t>CGU C: E-Commerce Operations</t>
  </si>
  <si>
    <t>IMPAIRED - AJE REQUIRED</t>
  </si>
  <si>
    <t>TOTAL</t>
  </si>
  <si>
    <t>Net Impairment: $2.7M</t>
  </si>
  <si>
    <t>2. Audit Methodology &amp; Testing Framework</t>
  </si>
  <si>
    <t>Purpose &amp; Scope:</t>
  </si>
  <si>
    <t>Audit annual impairment testing for Goodwill ($26.5M) and Intangibles ($16.3M) under IAS 36. Evaluate discount rates (WACC), terminal growth rates, and forecasting reliability.</t>
  </si>
  <si>
    <t>Risk Assessment:</t>
  </si>
  <si>
    <t>SIGNIFICANT RISK per ISA 315. Inherent risk is HIGH due to management estimation, macroeconomic interest rate volatility, and potential management bias in revenue forecasts.</t>
  </si>
  <si>
    <t>Auditor Specialist Involvement:</t>
  </si>
  <si>
    <t>Engaged In-House Valuation Specialist to independently benchmark WACC parameters (Cost of Equity, Beta, Risk-Free Rate) against market data.</t>
  </si>
  <si>
    <t>Manager Conclusion:</t>
  </si>
  <si>
    <t>Management's initial model passed CGU C with $700k headroom using an outdated WACC (8.2%). Following our specialist challenge (revised WACC: 10.5%), CGU C is impaired by $2,700,000. Proposed AJE #1 drafted.</t>
  </si>
  <si>
    <t>CGU IMPAIRMENT TESTING SCHEDULE &amp; ASSUMPTION ANALYSIS</t>
  </si>
  <si>
    <t>WP Reference: E-1.1</t>
  </si>
  <si>
    <t>CGU ID</t>
  </si>
  <si>
    <t>Asset Category</t>
  </si>
  <si>
    <t>Mgt WACC (%)</t>
  </si>
  <si>
    <t>Mgt Term Growth (%)</t>
  </si>
  <si>
    <t>Audit Specialist WACC Range</t>
  </si>
  <si>
    <t>Associate Testing Conclusion</t>
  </si>
  <si>
    <t>Manager Review Notes &amp; Coaching</t>
  </si>
  <si>
    <t>Status</t>
  </si>
  <si>
    <t>CGU-A</t>
  </si>
  <si>
    <t>Goodwill &amp; Brand Name</t>
  </si>
  <si>
    <t>8.5% - 9.2%</t>
  </si>
  <si>
    <t>Model verified. Enterprise contracts support cash flow forecasts.</t>
  </si>
  <si>
    <t>Clean. Headroom remains strong even under +150 bps WACC stress test.</t>
  </si>
  <si>
    <t>Closed / Passed</t>
  </si>
  <si>
    <t>CGU-B</t>
  </si>
  <si>
    <t>Goodwill &amp; Patents</t>
  </si>
  <si>
    <t>9.2% - 9.8%</t>
  </si>
  <si>
    <t>Vouched hardware pipeline. Model reflects moderate upgrade slowdown.</t>
  </si>
  <si>
    <t>Headroom is thin ($1.8M). Ensure IAS 36 paragraph 134 sensitivity disclosures are added.</t>
  </si>
  <si>
    <t>Passed (Disclosures)</t>
  </si>
  <si>
    <t>CGU-C</t>
  </si>
  <si>
    <t>Goodwill &amp; Cust. List</t>
  </si>
  <si>
    <t>10.0% - 11.0%</t>
  </si>
  <si>
    <t>Initial model passed ($700k headroom). Manager requested WACC challenge &amp; retrospective review.</t>
  </si>
  <si>
    <t>Management assumptions were overly aggressive. Re-evaluated VIU shows $2.7M deficit. Proposed AJE drafted.</t>
  </si>
  <si>
    <t>AJE #1 Proposed</t>
  </si>
  <si>
    <t>CGU C (E-COMMERCE) SENSITIVITY &amp; STRESS TEST MATRIX</t>
  </si>
  <si>
    <t>WP Reference: E-1.2 | Carrying Value: $8,500,000</t>
  </si>
  <si>
    <t>Discount Rate (WACC) \ Terminal Growth</t>
  </si>
  <si>
    <t>Legend &amp; Audit Notes:</t>
  </si>
  <si>
    <t>Yellow Fill: Management's Original Base Case ($9,200,000 VIU -&gt; $700,000 Headroom)</t>
  </si>
  <si>
    <t>Red Fill: Audited Base Case ($5,800,000 VIU -&gt; $2,700,000 Impairment Deficit)</t>
  </si>
  <si>
    <t>SUMMARY OF PROPOSED AUDIT ADJUSTING JOURNAL ENTRIES (AJE)</t>
  </si>
  <si>
    <t>WP Reference: E-1.3</t>
  </si>
  <si>
    <t>AJE #</t>
  </si>
  <si>
    <t>Account Description</t>
  </si>
  <si>
    <t>GL Account #</t>
  </si>
  <si>
    <t>Debit ($)</t>
  </si>
  <si>
    <t>Credit ($)</t>
  </si>
  <si>
    <t>AJE #1</t>
  </si>
  <si>
    <t>P&amp;L: Impairment Loss on Goodwill</t>
  </si>
  <si>
    <t>8120-00</t>
  </si>
  <si>
    <t xml:space="preserve">  Balance Sheet: Accumulated Impairment - Goodwill</t>
  </si>
  <si>
    <t>1850-99</t>
  </si>
  <si>
    <t>TOTAL AJE #1</t>
  </si>
  <si>
    <t>AJE Explanation:</t>
  </si>
  <si>
    <t>To record impairment loss on Goodwill allocated to CGU C (E-Commerce Operations) per IAS 36 following independent auditor valuation specialist review of WACC parameters.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</si>
</sst>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"/>
    <numFmt numFmtId="166" formatCode="0.0%"/>
  </numFmts>
  <fonts count="10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i/>
      <sz val="9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C00000"/>
      <name val="Calibri"/>
      <family val="2"/>
    </font>
    <font>
      <b/>
      <sz val="12"/>
      <color rgb="FF1F4E79"/>
      <name val="Calibri"/>
      <family val="2"/>
    </font>
    <font>
      <b/>
      <sz val="10"/>
      <color rgb="FFFFFFFF"/>
      <name val="Calibri"/>
      <family val="2"/>
    </font>
    <font>
      <b/>
      <sz val="10"/>
      <color rgb="FF276A3C"/>
      <name val="Calibri"/>
      <family val="2"/>
    </font>
    <font>
      <b/>
      <sz val="2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E2EFDA"/>
        <bgColor rgb="FFE2EFDA"/>
      </patternFill>
    </fill>
    <fill>
      <patternFill patternType="solid">
        <fgColor rgb="FFF2DCDB"/>
        <bgColor rgb="FFF2DCDB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 vertic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2" xfId="0" applyFont="1" applyBorder="1"/>
    <xf numFmtId="165" fontId="3" fillId="0" borderId="2" xfId="0" applyNumberFormat="1" applyFont="1" applyBorder="1"/>
    <xf numFmtId="164" fontId="3" fillId="0" borderId="2" xfId="0" applyNumberFormat="1" applyFont="1" applyBorder="1"/>
    <xf numFmtId="0" fontId="7" fillId="2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 applyAlignment="1">
      <alignment horizontal="right"/>
    </xf>
    <xf numFmtId="164" fontId="8" fillId="4" borderId="1" xfId="0" applyNumberFormat="1" applyFont="1" applyFill="1" applyBorder="1"/>
    <xf numFmtId="0" fontId="0" fillId="0" borderId="1" xfId="0" applyBorder="1" applyAlignment="1">
      <alignment wrapText="1"/>
    </xf>
    <xf numFmtId="0" fontId="0" fillId="5" borderId="1" xfId="0" applyFill="1" applyBorder="1" applyAlignment="1">
      <alignment wrapText="1"/>
    </xf>
    <xf numFmtId="0" fontId="3" fillId="0" borderId="1" xfId="0" applyFont="1" applyBorder="1" applyAlignment="1">
      <alignment horizontal="center"/>
    </xf>
    <xf numFmtId="164" fontId="5" fillId="6" borderId="1" xfId="0" applyNumberFormat="1" applyFont="1" applyFill="1" applyBorder="1"/>
    <xf numFmtId="0" fontId="7" fillId="2" borderId="0" xfId="0" applyFont="1" applyFill="1"/>
    <xf numFmtId="166" fontId="7" fillId="2" borderId="0" xfId="0" applyNumberFormat="1" applyFont="1" applyFill="1" applyAlignment="1">
      <alignment horizontal="center"/>
    </xf>
    <xf numFmtId="166" fontId="3" fillId="0" borderId="0" xfId="0" applyNumberFormat="1" applyFont="1" applyAlignment="1">
      <alignment horizontal="center"/>
    </xf>
    <xf numFmtId="165" fontId="0" fillId="6" borderId="1" xfId="0" applyNumberFormat="1" applyFill="1" applyBorder="1"/>
    <xf numFmtId="165" fontId="3" fillId="7" borderId="1" xfId="0" applyNumberFormat="1" applyFont="1" applyFill="1" applyBorder="1"/>
    <xf numFmtId="165" fontId="5" fillId="6" borderId="1" xfId="0" applyNumberFormat="1" applyFont="1" applyFill="1" applyBorder="1"/>
    <xf numFmtId="0" fontId="7" fillId="2" borderId="0" xfId="0" applyFont="1" applyFill="1" applyAlignment="1">
      <alignment horizontal="center"/>
    </xf>
    <xf numFmtId="0" fontId="3" fillId="0" borderId="1" xfId="0" applyFont="1" applyBorder="1"/>
    <xf numFmtId="0" fontId="9" fillId="0" borderId="0" xfId="0" applyFont="1"/>
    <xf numFmtId="0" fontId="4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8"/>
  <sheetViews>
    <sheetView showGridLines="0" tabSelected="1" workbookViewId="0">
      <selection sqref="A1:XFD2"/>
    </sheetView>
  </sheetViews>
  <sheetFormatPr defaultRowHeight="14.45"/>
  <cols>
    <col min="1" max="1" width="12" customWidth="1"/>
    <col min="2" max="3" width="40" customWidth="1"/>
    <col min="4" max="5" width="21" customWidth="1"/>
    <col min="6" max="6" width="27" customWidth="1"/>
    <col min="7" max="7" width="26" customWidth="1"/>
  </cols>
  <sheetData>
    <row r="1" spans="2:7" ht="26.1">
      <c r="B1" s="34" t="s">
        <v>0</v>
      </c>
    </row>
    <row r="4" spans="2:7" ht="21">
      <c r="B4" s="1" t="s">
        <v>1</v>
      </c>
    </row>
    <row r="5" spans="2:7">
      <c r="B5" s="2" t="s">
        <v>2</v>
      </c>
    </row>
    <row r="7" spans="2:7">
      <c r="B7" s="3" t="s">
        <v>3</v>
      </c>
      <c r="C7" s="4" t="s">
        <v>4</v>
      </c>
    </row>
    <row r="8" spans="2:7">
      <c r="B8" s="3" t="s">
        <v>5</v>
      </c>
      <c r="C8" s="4" t="s">
        <v>6</v>
      </c>
    </row>
    <row r="9" spans="2:7">
      <c r="B9" s="3" t="s">
        <v>7</v>
      </c>
      <c r="C9" s="4" t="s">
        <v>8</v>
      </c>
    </row>
    <row r="10" spans="2:7">
      <c r="B10" s="3" t="s">
        <v>9</v>
      </c>
      <c r="C10" s="4" t="s">
        <v>10</v>
      </c>
    </row>
    <row r="11" spans="2:7">
      <c r="B11" s="3" t="s">
        <v>11</v>
      </c>
      <c r="C11" s="4" t="s">
        <v>12</v>
      </c>
    </row>
    <row r="12" spans="2:7">
      <c r="B12" s="3" t="s">
        <v>13</v>
      </c>
      <c r="C12" s="5" t="s">
        <v>14</v>
      </c>
    </row>
    <row r="14" spans="2:7" ht="15.6">
      <c r="B14" s="6" t="s">
        <v>15</v>
      </c>
    </row>
    <row r="15" spans="2:7">
      <c r="B15" s="7" t="s">
        <v>16</v>
      </c>
      <c r="C15" s="7" t="s">
        <v>17</v>
      </c>
      <c r="D15" s="7" t="s">
        <v>18</v>
      </c>
      <c r="E15" s="7" t="s">
        <v>19</v>
      </c>
      <c r="F15" s="7" t="s">
        <v>20</v>
      </c>
      <c r="G15" s="7" t="s">
        <v>21</v>
      </c>
    </row>
    <row r="16" spans="2:7">
      <c r="B16" s="8" t="s">
        <v>22</v>
      </c>
      <c r="C16" s="9">
        <v>16500000</v>
      </c>
      <c r="D16" s="9">
        <f>'Testing Grid'!G9</f>
        <v>24700000</v>
      </c>
      <c r="E16" s="9" t="str">
        <f>'Testing Grid'!H9</f>
        <v>8.5% - 9.2%</v>
      </c>
      <c r="F16" s="9">
        <f>'Testing Grid'!I9</f>
        <v>23100000</v>
      </c>
      <c r="G16" s="10" t="s">
        <v>23</v>
      </c>
    </row>
    <row r="17" spans="2:7">
      <c r="B17" s="8" t="s">
        <v>24</v>
      </c>
      <c r="C17" s="9">
        <v>12300000</v>
      </c>
      <c r="D17" s="9">
        <f>'Testing Grid'!G10</f>
        <v>15400000</v>
      </c>
      <c r="E17" s="9" t="str">
        <f>'Testing Grid'!H10</f>
        <v>9.2% - 9.8%</v>
      </c>
      <c r="F17" s="9">
        <f>'Testing Grid'!I10</f>
        <v>14100000</v>
      </c>
      <c r="G17" s="10" t="s">
        <v>25</v>
      </c>
    </row>
    <row r="18" spans="2:7">
      <c r="B18" s="8" t="s">
        <v>26</v>
      </c>
      <c r="C18" s="9">
        <v>8500000</v>
      </c>
      <c r="D18" s="9">
        <f>'Testing Grid'!G11</f>
        <v>9200000</v>
      </c>
      <c r="E18" s="9" t="str">
        <f>'Testing Grid'!H11</f>
        <v>10.0% - 11.0%</v>
      </c>
      <c r="F18" s="9">
        <f>'Testing Grid'!I11</f>
        <v>5800000</v>
      </c>
      <c r="G18" s="11" t="s">
        <v>27</v>
      </c>
    </row>
    <row r="19" spans="2:7">
      <c r="B19" s="12" t="s">
        <v>28</v>
      </c>
      <c r="C19" s="13">
        <f>SUM(C16:C18)</f>
        <v>37300000</v>
      </c>
      <c r="D19" s="13">
        <f>SUM(D16:D18)</f>
        <v>49300000</v>
      </c>
      <c r="E19" s="13">
        <f>SUM(E16:E18)</f>
        <v>0</v>
      </c>
      <c r="F19" s="14">
        <f>SUM(F16:F18)</f>
        <v>43000000</v>
      </c>
      <c r="G19" s="12" t="s">
        <v>29</v>
      </c>
    </row>
    <row r="21" spans="2:7" ht="15.6">
      <c r="B21" s="6" t="s">
        <v>30</v>
      </c>
    </row>
    <row r="22" spans="2:7">
      <c r="B22" s="3" t="s">
        <v>31</v>
      </c>
      <c r="C22" s="35" t="s">
        <v>32</v>
      </c>
      <c r="D22" s="36"/>
      <c r="E22" s="36"/>
      <c r="F22" s="36"/>
      <c r="G22" s="36"/>
    </row>
    <row r="24" spans="2:7">
      <c r="B24" s="3" t="s">
        <v>33</v>
      </c>
      <c r="C24" s="35" t="s">
        <v>34</v>
      </c>
      <c r="D24" s="36"/>
      <c r="E24" s="36"/>
      <c r="F24" s="36"/>
      <c r="G24" s="36"/>
    </row>
    <row r="26" spans="2:7">
      <c r="B26" s="3" t="s">
        <v>35</v>
      </c>
      <c r="C26" s="35" t="s">
        <v>36</v>
      </c>
      <c r="D26" s="36"/>
      <c r="E26" s="36"/>
      <c r="F26" s="36"/>
      <c r="G26" s="36"/>
    </row>
    <row r="28" spans="2:7">
      <c r="B28" s="3" t="s">
        <v>37</v>
      </c>
      <c r="C28" s="35" t="s">
        <v>38</v>
      </c>
      <c r="D28" s="36"/>
      <c r="E28" s="36"/>
      <c r="F28" s="36"/>
      <c r="G28" s="36"/>
    </row>
  </sheetData>
  <mergeCells count="4">
    <mergeCell ref="C24:G24"/>
    <mergeCell ref="C26:G26"/>
    <mergeCell ref="C22:G22"/>
    <mergeCell ref="C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11"/>
  <sheetViews>
    <sheetView showGridLines="0" workbookViewId="0">
      <selection sqref="A1:XFD2"/>
    </sheetView>
  </sheetViews>
  <sheetFormatPr defaultRowHeight="14.45"/>
  <cols>
    <col min="1" max="1" width="12" customWidth="1"/>
    <col min="2" max="2" width="40" customWidth="1"/>
    <col min="3" max="3" width="24" customWidth="1"/>
    <col min="4" max="4" width="21" customWidth="1"/>
    <col min="5" max="5" width="15" customWidth="1"/>
    <col min="6" max="6" width="22" customWidth="1"/>
    <col min="7" max="7" width="14" customWidth="1"/>
    <col min="8" max="8" width="30" customWidth="1"/>
    <col min="9" max="9" width="18" customWidth="1"/>
    <col min="10" max="10" width="27" customWidth="1"/>
    <col min="11" max="12" width="35" customWidth="1"/>
    <col min="13" max="13" width="23" customWidth="1"/>
  </cols>
  <sheetData>
    <row r="1" spans="2:13" ht="26.1">
      <c r="B1" s="34" t="s">
        <v>0</v>
      </c>
    </row>
    <row r="5" spans="2:13" ht="21">
      <c r="B5" s="1" t="s">
        <v>39</v>
      </c>
    </row>
    <row r="6" spans="2:13">
      <c r="B6" s="2" t="s">
        <v>40</v>
      </c>
    </row>
    <row r="8" spans="2:13">
      <c r="B8" s="15" t="s">
        <v>41</v>
      </c>
      <c r="C8" s="15" t="s">
        <v>42</v>
      </c>
      <c r="D8" s="15" t="s">
        <v>17</v>
      </c>
      <c r="E8" s="15" t="s">
        <v>43</v>
      </c>
      <c r="F8" s="15" t="s">
        <v>44</v>
      </c>
      <c r="G8" s="15" t="s">
        <v>18</v>
      </c>
      <c r="H8" s="16" t="s">
        <v>45</v>
      </c>
      <c r="I8" s="16" t="s">
        <v>19</v>
      </c>
      <c r="J8" s="15" t="s">
        <v>20</v>
      </c>
      <c r="K8" s="15" t="s">
        <v>46</v>
      </c>
      <c r="L8" s="16" t="s">
        <v>47</v>
      </c>
      <c r="M8" s="16" t="s">
        <v>48</v>
      </c>
    </row>
    <row r="9" spans="2:13" ht="29.1">
      <c r="B9" s="17" t="s">
        <v>49</v>
      </c>
      <c r="C9" s="18" t="s">
        <v>50</v>
      </c>
      <c r="D9" s="19">
        <v>16500000</v>
      </c>
      <c r="E9" s="20">
        <v>8.5000000000000006E-2</v>
      </c>
      <c r="F9" s="20">
        <v>2.5000000000000001E-2</v>
      </c>
      <c r="G9" s="19">
        <v>24700000</v>
      </c>
      <c r="H9" s="17" t="s">
        <v>51</v>
      </c>
      <c r="I9" s="19">
        <v>23100000</v>
      </c>
      <c r="J9" s="21">
        <f>I9-D9</f>
        <v>6600000</v>
      </c>
      <c r="K9" s="22" t="s">
        <v>52</v>
      </c>
      <c r="L9" s="23" t="s">
        <v>53</v>
      </c>
      <c r="M9" s="24" t="s">
        <v>54</v>
      </c>
    </row>
    <row r="10" spans="2:13" ht="43.5">
      <c r="B10" s="17" t="s">
        <v>55</v>
      </c>
      <c r="C10" s="18" t="s">
        <v>56</v>
      </c>
      <c r="D10" s="19">
        <v>12300000</v>
      </c>
      <c r="E10" s="20">
        <v>0.09</v>
      </c>
      <c r="F10" s="20">
        <v>0.02</v>
      </c>
      <c r="G10" s="19">
        <v>15400000</v>
      </c>
      <c r="H10" s="17" t="s">
        <v>57</v>
      </c>
      <c r="I10" s="19">
        <v>14100000</v>
      </c>
      <c r="J10" s="21">
        <f>I10-D10</f>
        <v>1800000</v>
      </c>
      <c r="K10" s="22" t="s">
        <v>58</v>
      </c>
      <c r="L10" s="23" t="s">
        <v>59</v>
      </c>
      <c r="M10" s="24" t="s">
        <v>60</v>
      </c>
    </row>
    <row r="11" spans="2:13" ht="43.5">
      <c r="B11" s="17" t="s">
        <v>61</v>
      </c>
      <c r="C11" s="18" t="s">
        <v>62</v>
      </c>
      <c r="D11" s="19">
        <v>8500000</v>
      </c>
      <c r="E11" s="20">
        <v>8.2000000000000003E-2</v>
      </c>
      <c r="F11" s="20">
        <v>0.03</v>
      </c>
      <c r="G11" s="19">
        <v>9200000</v>
      </c>
      <c r="H11" s="17" t="s">
        <v>63</v>
      </c>
      <c r="I11" s="19">
        <v>5800000</v>
      </c>
      <c r="J11" s="25">
        <f>I11-D11</f>
        <v>-2700000</v>
      </c>
      <c r="K11" s="22" t="s">
        <v>64</v>
      </c>
      <c r="L11" s="23" t="s">
        <v>65</v>
      </c>
      <c r="M11" s="24" t="s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5"/>
  <sheetViews>
    <sheetView showGridLines="0" workbookViewId="0">
      <selection sqref="A1:XFD2"/>
    </sheetView>
  </sheetViews>
  <sheetFormatPr defaultRowHeight="14.45"/>
  <cols>
    <col min="1" max="1" width="12" customWidth="1"/>
    <col min="2" max="2" width="40" customWidth="1"/>
    <col min="3" max="6" width="12" customWidth="1"/>
  </cols>
  <sheetData>
    <row r="1" spans="2:6" ht="26.1">
      <c r="B1" s="34" t="s">
        <v>0</v>
      </c>
    </row>
    <row r="3" spans="2:6" ht="21">
      <c r="B3" s="1" t="s">
        <v>67</v>
      </c>
    </row>
    <row r="4" spans="2:6">
      <c r="B4" s="2" t="s">
        <v>68</v>
      </c>
    </row>
    <row r="6" spans="2:6">
      <c r="B6" s="26" t="s">
        <v>69</v>
      </c>
      <c r="C6" s="27">
        <v>1.4999999999999999E-2</v>
      </c>
      <c r="D6" s="27">
        <v>0.02</v>
      </c>
      <c r="E6" s="27">
        <v>2.5000000000000001E-2</v>
      </c>
      <c r="F6" s="27">
        <v>0.03</v>
      </c>
    </row>
    <row r="7" spans="2:6">
      <c r="B7" s="28">
        <v>8.2000000000000003E-2</v>
      </c>
      <c r="C7" s="29">
        <v>8100000</v>
      </c>
      <c r="D7" s="19">
        <v>8500000</v>
      </c>
      <c r="E7" s="19">
        <v>8800000</v>
      </c>
      <c r="F7" s="30">
        <v>9200000</v>
      </c>
    </row>
    <row r="8" spans="2:6">
      <c r="B8" s="28">
        <v>9.5000000000000001E-2</v>
      </c>
      <c r="C8" s="29">
        <v>6700000</v>
      </c>
      <c r="D8" s="29">
        <v>7000000</v>
      </c>
      <c r="E8" s="29">
        <v>7300000</v>
      </c>
      <c r="F8" s="29">
        <v>7600000</v>
      </c>
    </row>
    <row r="9" spans="2:6">
      <c r="B9" s="28">
        <v>0.105</v>
      </c>
      <c r="C9" s="29">
        <v>5300000</v>
      </c>
      <c r="D9" s="29">
        <v>5500000</v>
      </c>
      <c r="E9" s="31">
        <v>5800000</v>
      </c>
      <c r="F9" s="29">
        <v>6100000</v>
      </c>
    </row>
    <row r="10" spans="2:6">
      <c r="B10" s="28">
        <v>0.115</v>
      </c>
      <c r="C10" s="29">
        <v>4600000</v>
      </c>
      <c r="D10" s="29">
        <v>4800000</v>
      </c>
      <c r="E10" s="29">
        <v>5000000</v>
      </c>
      <c r="F10" s="29">
        <v>5200000</v>
      </c>
    </row>
    <row r="13" spans="2:6">
      <c r="B13" s="3" t="s">
        <v>70</v>
      </c>
    </row>
    <row r="14" spans="2:6">
      <c r="B14" s="4" t="s">
        <v>71</v>
      </c>
    </row>
    <row r="15" spans="2:6">
      <c r="B15" s="5" t="s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3"/>
  <sheetViews>
    <sheetView showGridLines="0" workbookViewId="0"/>
  </sheetViews>
  <sheetFormatPr defaultRowHeight="14.45"/>
  <cols>
    <col min="1" max="1" width="12" customWidth="1"/>
    <col min="2" max="3" width="40" customWidth="1"/>
    <col min="4" max="4" width="15" customWidth="1"/>
    <col min="5" max="6" width="14" customWidth="1"/>
  </cols>
  <sheetData>
    <row r="1" spans="2:6" ht="26.1">
      <c r="B1" s="34" t="s">
        <v>0</v>
      </c>
    </row>
    <row r="4" spans="2:6" ht="21">
      <c r="B4" s="1" t="s">
        <v>73</v>
      </c>
    </row>
    <row r="5" spans="2:6">
      <c r="B5" s="2" t="s">
        <v>74</v>
      </c>
    </row>
    <row r="7" spans="2:6">
      <c r="B7" s="32" t="s">
        <v>75</v>
      </c>
      <c r="C7" s="32" t="s">
        <v>76</v>
      </c>
      <c r="D7" s="32" t="s">
        <v>77</v>
      </c>
      <c r="E7" s="32" t="s">
        <v>78</v>
      </c>
      <c r="F7" s="32" t="s">
        <v>79</v>
      </c>
    </row>
    <row r="8" spans="2:6">
      <c r="B8" s="33" t="s">
        <v>80</v>
      </c>
      <c r="C8" s="8" t="s">
        <v>81</v>
      </c>
      <c r="D8" s="8" t="s">
        <v>82</v>
      </c>
      <c r="E8" s="9">
        <v>2700000</v>
      </c>
      <c r="F8" s="9">
        <v>0</v>
      </c>
    </row>
    <row r="9" spans="2:6">
      <c r="B9" s="33" t="s">
        <v>80</v>
      </c>
      <c r="C9" s="8" t="s">
        <v>83</v>
      </c>
      <c r="D9" s="8" t="s">
        <v>84</v>
      </c>
      <c r="E9" s="9">
        <v>0</v>
      </c>
      <c r="F9" s="9">
        <v>2700000</v>
      </c>
    </row>
    <row r="10" spans="2:6">
      <c r="B10" s="3" t="s">
        <v>85</v>
      </c>
      <c r="E10" s="13">
        <f>SUM(E8:E9)</f>
        <v>2700000</v>
      </c>
      <c r="F10" s="13">
        <f>SUM(F8:F9)</f>
        <v>2700000</v>
      </c>
    </row>
    <row r="12" spans="2:6">
      <c r="B12" s="3" t="s">
        <v>86</v>
      </c>
    </row>
    <row r="13" spans="2:6">
      <c r="B13" s="4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2026-09-22T09:41:28Z</dcterms:created>
  <dcterms:modified xsi:type="dcterms:W3CDTF">2026-10-18T07:09:13Z</dcterms:modified>
  <cp:category/>
  <cp:contentStatus/>
</cp:coreProperties>
</file>