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C:\Users\kshtj\Documents\Step1 Advisors\"/>
    </mc:Choice>
  </mc:AlternateContent>
  <xr:revisionPtr revIDLastSave="0" documentId="8_{48DF56C5-5377-4C60-AFD5-6F99585EB2F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ser Guide" sheetId="1" r:id="rId1"/>
    <sheet name="Lease Calculator" sheetId="2" r:id="rId2"/>
    <sheet name="Amortization Schedul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5" i="3" l="1"/>
  <c r="L25" i="3"/>
  <c r="J25" i="3"/>
  <c r="I25" i="3"/>
  <c r="H25" i="3"/>
  <c r="G25" i="3"/>
  <c r="K25" i="3" s="1"/>
  <c r="F25" i="3"/>
  <c r="E25" i="3"/>
  <c r="D25" i="3"/>
  <c r="C25" i="3"/>
  <c r="M24" i="3"/>
  <c r="L24" i="3"/>
  <c r="J24" i="3"/>
  <c r="I24" i="3"/>
  <c r="H24" i="3"/>
  <c r="G24" i="3"/>
  <c r="K24" i="3" s="1"/>
  <c r="F24" i="3"/>
  <c r="E24" i="3"/>
  <c r="D24" i="3"/>
  <c r="C24" i="3"/>
  <c r="M23" i="3"/>
  <c r="L23" i="3"/>
  <c r="J23" i="3"/>
  <c r="I23" i="3"/>
  <c r="H23" i="3"/>
  <c r="G23" i="3"/>
  <c r="K23" i="3" s="1"/>
  <c r="F23" i="3"/>
  <c r="E23" i="3"/>
  <c r="D23" i="3"/>
  <c r="C23" i="3"/>
  <c r="M22" i="3"/>
  <c r="L22" i="3"/>
  <c r="J22" i="3"/>
  <c r="I22" i="3"/>
  <c r="H22" i="3"/>
  <c r="G22" i="3"/>
  <c r="K22" i="3" s="1"/>
  <c r="F22" i="3"/>
  <c r="E22" i="3"/>
  <c r="D22" i="3"/>
  <c r="C22" i="3"/>
  <c r="M21" i="3"/>
  <c r="L21" i="3"/>
  <c r="J21" i="3"/>
  <c r="I21" i="3"/>
  <c r="H21" i="3"/>
  <c r="G21" i="3"/>
  <c r="K21" i="3" s="1"/>
  <c r="F21" i="3"/>
  <c r="E21" i="3"/>
  <c r="D21" i="3"/>
  <c r="C21" i="3"/>
  <c r="M20" i="3"/>
  <c r="L20" i="3"/>
  <c r="J20" i="3"/>
  <c r="I20" i="3"/>
  <c r="H20" i="3"/>
  <c r="G20" i="3"/>
  <c r="K20" i="3" s="1"/>
  <c r="F20" i="3"/>
  <c r="E20" i="3"/>
  <c r="D20" i="3"/>
  <c r="C20" i="3"/>
  <c r="M19" i="3"/>
  <c r="L19" i="3"/>
  <c r="J19" i="3"/>
  <c r="I19" i="3"/>
  <c r="H19" i="3"/>
  <c r="G19" i="3"/>
  <c r="K19" i="3" s="1"/>
  <c r="F19" i="3"/>
  <c r="E19" i="3"/>
  <c r="D19" i="3"/>
  <c r="C19" i="3"/>
  <c r="M18" i="3"/>
  <c r="L18" i="3"/>
  <c r="J18" i="3"/>
  <c r="I18" i="3"/>
  <c r="H18" i="3"/>
  <c r="G18" i="3"/>
  <c r="K18" i="3" s="1"/>
  <c r="F18" i="3"/>
  <c r="E18" i="3"/>
  <c r="D18" i="3"/>
  <c r="C18" i="3"/>
  <c r="M17" i="3"/>
  <c r="L17" i="3"/>
  <c r="J17" i="3"/>
  <c r="I17" i="3"/>
  <c r="H17" i="3"/>
  <c r="G17" i="3"/>
  <c r="K17" i="3" s="1"/>
  <c r="F17" i="3"/>
  <c r="E17" i="3"/>
  <c r="D17" i="3"/>
  <c r="C17" i="3"/>
  <c r="M16" i="3"/>
  <c r="L16" i="3"/>
  <c r="J16" i="3"/>
  <c r="I16" i="3"/>
  <c r="H16" i="3"/>
  <c r="G16" i="3"/>
  <c r="K16" i="3" s="1"/>
  <c r="F16" i="3"/>
  <c r="E16" i="3"/>
  <c r="D16" i="3"/>
  <c r="C16" i="3"/>
  <c r="M15" i="3"/>
  <c r="L15" i="3"/>
  <c r="J15" i="3"/>
  <c r="I15" i="3"/>
  <c r="H15" i="3"/>
  <c r="G15" i="3"/>
  <c r="K15" i="3" s="1"/>
  <c r="F15" i="3"/>
  <c r="E15" i="3"/>
  <c r="D15" i="3"/>
  <c r="C15" i="3"/>
  <c r="M14" i="3"/>
  <c r="L14" i="3"/>
  <c r="J14" i="3"/>
  <c r="I14" i="3"/>
  <c r="H14" i="3"/>
  <c r="G14" i="3"/>
  <c r="K14" i="3" s="1"/>
  <c r="F14" i="3"/>
  <c r="E14" i="3"/>
  <c r="D14" i="3"/>
  <c r="C14" i="3"/>
  <c r="M13" i="3"/>
  <c r="L13" i="3"/>
  <c r="J13" i="3"/>
  <c r="I13" i="3"/>
  <c r="H13" i="3"/>
  <c r="G13" i="3"/>
  <c r="K13" i="3" s="1"/>
  <c r="F13" i="3"/>
  <c r="E13" i="3"/>
  <c r="D13" i="3"/>
  <c r="C13" i="3"/>
  <c r="M12" i="3"/>
  <c r="L12" i="3"/>
  <c r="J12" i="3"/>
  <c r="I12" i="3"/>
  <c r="H12" i="3"/>
  <c r="G12" i="3"/>
  <c r="K12" i="3" s="1"/>
  <c r="F12" i="3"/>
  <c r="E12" i="3"/>
  <c r="D12" i="3"/>
  <c r="C12" i="3"/>
  <c r="M11" i="3"/>
  <c r="L11" i="3"/>
  <c r="J11" i="3"/>
  <c r="I11" i="3"/>
  <c r="H11" i="3"/>
  <c r="G11" i="3"/>
  <c r="K11" i="3" s="1"/>
  <c r="F11" i="3"/>
  <c r="E11" i="3"/>
  <c r="D11" i="3"/>
  <c r="C11" i="3"/>
  <c r="D10" i="3"/>
  <c r="D9" i="3"/>
  <c r="D8" i="3"/>
  <c r="D7" i="3"/>
  <c r="D6" i="3"/>
  <c r="E37" i="2"/>
  <c r="E28" i="2"/>
  <c r="E27" i="2"/>
  <c r="D25" i="2"/>
  <c r="C19" i="2"/>
  <c r="C16" i="2"/>
  <c r="C6" i="3" l="1"/>
  <c r="E26" i="2"/>
  <c r="E29" i="2" s="1"/>
  <c r="E6" i="3"/>
  <c r="C17" i="2"/>
  <c r="H6" i="3" l="1"/>
  <c r="D24" i="2"/>
  <c r="D29" i="2" s="1"/>
  <c r="C18" i="2"/>
  <c r="F6" i="3"/>
  <c r="D35" i="2"/>
  <c r="D36" i="2" l="1"/>
  <c r="G6" i="3"/>
  <c r="I9" i="3"/>
  <c r="I10" i="3"/>
  <c r="I6" i="3"/>
  <c r="I7" i="3"/>
  <c r="I8" i="3"/>
  <c r="J6" i="3"/>
  <c r="H7" i="3" s="1"/>
  <c r="J7" i="3" s="1"/>
  <c r="H8" i="3" s="1"/>
  <c r="J8" i="3" s="1"/>
  <c r="H9" i="3" s="1"/>
  <c r="J9" i="3" s="1"/>
  <c r="H10" i="3" s="1"/>
  <c r="J10" i="3" s="1"/>
  <c r="C7" i="3" l="1"/>
  <c r="D33" i="2"/>
  <c r="E34" i="2"/>
  <c r="M6" i="3"/>
  <c r="E7" i="3" l="1"/>
  <c r="M7" i="3" l="1"/>
  <c r="F7" i="3"/>
  <c r="K6" i="3" l="1"/>
  <c r="L6" i="3" s="1"/>
  <c r="G7" i="3"/>
  <c r="C8" i="3" l="1"/>
  <c r="E8" i="3" l="1"/>
  <c r="M8" i="3" l="1"/>
  <c r="F8" i="3"/>
  <c r="K7" i="3" l="1"/>
  <c r="L7" i="3" s="1"/>
  <c r="G8" i="3"/>
  <c r="C9" i="3" l="1"/>
  <c r="E9" i="3" l="1"/>
  <c r="M9" i="3" l="1"/>
  <c r="F9" i="3"/>
  <c r="K8" i="3" l="1"/>
  <c r="L8" i="3" s="1"/>
  <c r="G9" i="3"/>
  <c r="C10" i="3" l="1"/>
  <c r="E10" i="3" l="1"/>
  <c r="F10" i="3" l="1"/>
  <c r="M10" i="3"/>
  <c r="C20" i="2"/>
  <c r="K9" i="3" l="1"/>
  <c r="L9" i="3" s="1"/>
  <c r="G10" i="3"/>
  <c r="K10" i="3" l="1"/>
  <c r="L10" i="3" s="1"/>
</calcChain>
</file>

<file path=xl/sharedStrings.xml><?xml version="1.0" encoding="utf-8"?>
<sst xmlns="http://schemas.openxmlformats.org/spreadsheetml/2006/main" count="144" uniqueCount="134">
  <si>
    <t>IFRS 16 / ASC 842 LEASE CALCULATOR — USER GUIDE &amp; MODEL DOCUMENTATION</t>
  </si>
  <si>
    <t>Enterprise Financial Reporting &amp; Automated Accounting Engine | Version 2.0</t>
  </si>
  <si>
    <t>1. PURPOSE &amp; EXECUTIVE SUMMARY</t>
  </si>
  <si>
    <t>This model provides a fully dynamic, audit-ready framework for calculating financial statement impacts under IFRS 16 (and ASC 842) Leases. It replaces legacy off-balance-sheet operating lease accounting with a unified on-balance-sheet model.
Key Capabilities:
• Automatically calculates Initial Lease Liability (Present Value of future payments) and Right-of-Use (ROU) Asset.
• Generates Day 1 Initial Recognition and Year 1 Subsequent Measurement Journal Entries.
• Dynamically builds a 20-year Amortization Schedule separating Current vs. Non-Current liabilities.
• Provides instant impact analysis across Profit &amp; Loss, Balance Sheet, and Cash Flow Statements.</t>
  </si>
  <si>
    <t>2. MODEL CONVENTIONS &amp; COLOR-CODING LEGEND</t>
  </si>
  <si>
    <t>Cell Style</t>
  </si>
  <si>
    <t>Classification</t>
  </si>
  <si>
    <t>Description / User Action Required</t>
  </si>
  <si>
    <t>Soft Yellow Fill</t>
  </si>
  <si>
    <t>USER INPUT</t>
  </si>
  <si>
    <t>Editable parameters (e.g., Lease term, rent payments, discount rate, initial costs).</t>
  </si>
  <si>
    <t>Soft Green Fill</t>
  </si>
  <si>
    <t>KEY OUTPUT</t>
  </si>
  <si>
    <t>Calculated key metrics (e.g., Initial Liability, ROU Asset, Depreciation). Do not overwrite.</t>
  </si>
  <si>
    <t>Dark Blue Header</t>
  </si>
  <si>
    <t>TABLE HEADER</t>
  </si>
  <si>
    <t>Section dividers and table column headers.</t>
  </si>
  <si>
    <t>Standard White</t>
  </si>
  <si>
    <t>FORMULA / LINKED</t>
  </si>
  <si>
    <t>Calculated schedule data, journal entries, or financial statement impacts.</t>
  </si>
  <si>
    <t>3. STEP-BY-STEP OPERATING INSTRUCTIONS</t>
  </si>
  <si>
    <t>Step</t>
  </si>
  <si>
    <t>Action Required</t>
  </si>
  <si>
    <t>Detailed Guidance</t>
  </si>
  <si>
    <t>Step 1</t>
  </si>
  <si>
    <t>Input Contract Parameters</t>
  </si>
  <si>
    <t>Navigate to the 'Lease Calculator' tab. Enter lease details in the Yellow input cells (C6:C13). For a new lease, simply update these cells.</t>
  </si>
  <si>
    <t>Step 2</t>
  </si>
  <si>
    <t>Review Day 1 Recognition</t>
  </si>
  <si>
    <t>Check Section 2 ('Initial Accounting Measurement Outputs') for the Initial Lease Liability and capitalized ROU Asset value.</t>
  </si>
  <si>
    <t>Step 3</t>
  </si>
  <si>
    <t>Post Day 1 Journal Entries</t>
  </si>
  <si>
    <t>Extract Day 1 Initial Recognition entries from Section 3 to establish the ROU Asset and Lease Obligation in your General Ledger.</t>
  </si>
  <si>
    <t>Step 4</t>
  </si>
  <si>
    <t>Post Periodic Accounting</t>
  </si>
  <si>
    <t>Use Section 4 for Year 1 periodic entries or navigate to the 'Amortization Schedule' tab for subsequent annual postings.</t>
  </si>
  <si>
    <t>Step 5</t>
  </si>
  <si>
    <t>Analyze Statement Impacts</t>
  </si>
  <si>
    <t>Refer to Section 5 on the 'Lease Calculator' tab to report financial impacts to leadership and stakeholders.</t>
  </si>
  <si>
    <t>4. HOW TO READ &amp; INTERPRET CALCULATOR OUTPUTS</t>
  </si>
  <si>
    <t>Lease Liability (PV)</t>
  </si>
  <si>
    <t>Calculated as PV of remaining lease payments discounted at Incremental Borrowing Rate (IBR). Reflects total financial debt obligation.</t>
  </si>
  <si>
    <t>ROU Asset Value</t>
  </si>
  <si>
    <t>Initial Liability + Direct Costs Incurred - Incentives Received + Restoration Provision. Capitalized asset on Balance Sheet.</t>
  </si>
  <si>
    <t>ROU Depreciation</t>
  </si>
  <si>
    <t>Depreciated on a straight-line basis over the shorter of useful life or lease term, charged to P&amp;L Operating Expenses.</t>
  </si>
  <si>
    <t>Interest Expense</t>
  </si>
  <si>
    <t>Accrued on opening Lease Liability at IBR rate. Decreases over time as liability principal is repaid (front-loaded P&amp;L impact).</t>
  </si>
  <si>
    <t>Current vs. Non-Current</t>
  </si>
  <si>
    <t>Schedule automatically splits Lease Liability into Current (&lt;12m principal repayment) and Non-Current (&gt;12m remaining obligation).</t>
  </si>
  <si>
    <t>IFRS 16 / ASC 842 DYNAMIC LEASE CALCULATOR</t>
  </si>
  <si>
    <t>Interactive Financial Model &amp; Automated Journal Entry Generator</t>
  </si>
  <si>
    <t>1. CONTRACT INPUT PARAMETERS (EDIT YELLOW CELLS)</t>
  </si>
  <si>
    <t>Lease Contract Reference</t>
  </si>
  <si>
    <t>HQ Office Space - Floor 5</t>
  </si>
  <si>
    <t>Commencement Date</t>
  </si>
  <si>
    <t>2026-01-01</t>
  </si>
  <si>
    <t>Lease Term (Years)</t>
  </si>
  <si>
    <t>Annual Lease Payment ($)</t>
  </si>
  <si>
    <t>Incremental Borrowing Rate (IBR %)</t>
  </si>
  <si>
    <t>Initial Direct Costs Incurred ($)</t>
  </si>
  <si>
    <t>Lease Incentives Received ($)</t>
  </si>
  <si>
    <t>Restoration / Dismantling Provision ($)</t>
  </si>
  <si>
    <t>2. INITIAL ACCOUNTING MEASUREMENT OUTPUTS</t>
  </si>
  <si>
    <t>Initial Lease Liability ($)</t>
  </si>
  <si>
    <t>Present Value of Future Lease Payments</t>
  </si>
  <si>
    <t>Initial Right-of-Use (ROU) Asset ($)</t>
  </si>
  <si>
    <t>PV of Liab + Direct Costs - Incentives + Restoration</t>
  </si>
  <si>
    <t>Annual Straight-Line ROU Depreciation ($)</t>
  </si>
  <si>
    <t>ROU Asset divided by Lease Term</t>
  </si>
  <si>
    <t>Total Undiscounted Cash Outflows ($)</t>
  </si>
  <si>
    <t>Total undiscounted rent paid over term</t>
  </si>
  <si>
    <t>Total Estimated Finance Expense ($)</t>
  </si>
  <si>
    <t>Cumulative interest over full lease term</t>
  </si>
  <si>
    <t>3. DAY 1 INITIAL RECOGNITION JOURNAL ENTRIES</t>
  </si>
  <si>
    <t>Account Description</t>
  </si>
  <si>
    <t>Financial Statement</t>
  </si>
  <si>
    <t>Debit ($)</t>
  </si>
  <si>
    <t>Credit ($)</t>
  </si>
  <si>
    <t>Dr. Right-of-Use (ROU) Asset</t>
  </si>
  <si>
    <t>Balance Sheet (Non-Current Asset)</t>
  </si>
  <si>
    <t>Dr. Cash / Bank (Lease Incentive Received)</t>
  </si>
  <si>
    <t>Balance Sheet (Current Asset)</t>
  </si>
  <si>
    <t>Cr. Lease Liability</t>
  </si>
  <si>
    <t>Balance Sheet (Current &amp; Non-Current)</t>
  </si>
  <si>
    <t>Cr. Cash / Bank (Initial Direct Costs Paid)</t>
  </si>
  <si>
    <t>Cr. Provision for Restoration / Dismantling</t>
  </si>
  <si>
    <t>Balance Sheet (Non-Current Liability)</t>
  </si>
  <si>
    <t>TOTAL INITIAL RECOGNITION</t>
  </si>
  <si>
    <t>4. SUBSEQUENT MEASUREMENT JOURNAL ENTRIES (YEAR 1)</t>
  </si>
  <si>
    <t>Dr. Depreciation Expense - ROU Asset</t>
  </si>
  <si>
    <t>Profit &amp; Loss (Operating Expense)</t>
  </si>
  <si>
    <t>Cr. Accumulated Depreciation - ROU Asset</t>
  </si>
  <si>
    <t>Balance Sheet (Contra-Asset)</t>
  </si>
  <si>
    <t>Dr. Finance Expense (Lease Interest)</t>
  </si>
  <si>
    <t>Profit &amp; Loss (Finance Cost)</t>
  </si>
  <si>
    <t>Dr. Lease Liability (Principal Repayment)</t>
  </si>
  <si>
    <t>Balance Sheet (Liability Reduction)</t>
  </si>
  <si>
    <t>Cr. Cash / Bank (Lease Payment Paid)</t>
  </si>
  <si>
    <t>Balance Sheet (Cash Outflow)</t>
  </si>
  <si>
    <t>5. FINANCIAL STATEMENT IMPACT SUMMARY (IFRS 16 VS OLD IAS 17)</t>
  </si>
  <si>
    <t>Specific Line Item Impact</t>
  </si>
  <si>
    <t>IFRS 16 Accounting Treatment &amp; Behavioral Impact</t>
  </si>
  <si>
    <t>Profit &amp; Loss (P&amp;L)</t>
  </si>
  <si>
    <t>Operating Expense (EBITDA)</t>
  </si>
  <si>
    <t>REMOVED straight-line Rent Expense. Replaced by Depreciation. Operating Profit / EBITDA IMPROVES significantly.</t>
  </si>
  <si>
    <t>Finance Costs (Interest Expense)</t>
  </si>
  <si>
    <t>NEW Interest Expense added under Finance Costs. Total P&amp;L expense is front-loaded (higher in early years).</t>
  </si>
  <si>
    <t>Balance Sheet</t>
  </si>
  <si>
    <t>Non-Current Assets</t>
  </si>
  <si>
    <t>NEW Right-of-Use (ROU) Asset recognized on Day 1, depreciated straight-line over the lease term.</t>
  </si>
  <si>
    <t>Current Liabilities</t>
  </si>
  <si>
    <t>Current portion of Lease Liability (principal due within 12 months) presented separately.</t>
  </si>
  <si>
    <t>Non-Current Liabilities</t>
  </si>
  <si>
    <t>Non-current portion of Lease Liability presented under long-term debt.</t>
  </si>
  <si>
    <t>Cash Flow Statement</t>
  </si>
  <si>
    <t>Operating Cash Flow (CFO)</t>
  </si>
  <si>
    <t>IMPROVES. Only the interest portion of payment is in Operating CF; principal repayment moves to Financing CF.</t>
  </si>
  <si>
    <t>Financing Cash Flow (CFF)</t>
  </si>
  <si>
    <t>DECREASES. Lease principal repayments are reported as Financing Cash Outflows.</t>
  </si>
  <si>
    <t>IFRS 16 LEASE LIABILITY &amp; ROU ASSET AMORTIZATION SCHEDULE</t>
  </si>
  <si>
    <t>WP Reference: L-2.0 | Dynamic Formula Engine</t>
  </si>
  <si>
    <t>Year</t>
  </si>
  <si>
    <t>Beg Lease Liab ($)</t>
  </si>
  <si>
    <t>Lease Payment ($)</t>
  </si>
  <si>
    <t>Interest Expense ($)</t>
  </si>
  <si>
    <t>Principal Repayment ($)</t>
  </si>
  <si>
    <t>End Lease Liab ($)</t>
  </si>
  <si>
    <t>Beg ROU Asset ($)</t>
  </si>
  <si>
    <t>ROU Depreciation ($)</t>
  </si>
  <si>
    <t>End ROU Asset ($)</t>
  </si>
  <si>
    <t>Current Liab ($)</t>
  </si>
  <si>
    <t>Non-Current Liab ($)</t>
  </si>
  <si>
    <t>Total P&amp;L Charge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</si>
</sst>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0.0%"/>
    <numFmt numFmtId="166" formatCode="\$#,##0;\(\$#,##0\);&quot;-&quot;"/>
  </numFmts>
  <fonts count="10">
    <font>
      <sz val="11"/>
      <color theme="1"/>
      <name val="Calibri"/>
      <family val="2"/>
      <scheme val="minor"/>
    </font>
    <font>
      <b/>
      <sz val="16"/>
      <color rgb="FF1F4E79"/>
      <name val="Calibri"/>
      <family val="2"/>
    </font>
    <font>
      <i/>
      <sz val="9"/>
      <name val="Calibri"/>
      <family val="2"/>
    </font>
    <font>
      <b/>
      <sz val="12"/>
      <color rgb="FF1F4E79"/>
      <name val="Calibri"/>
      <family val="2"/>
    </font>
    <font>
      <sz val="10"/>
      <name val="Calibri"/>
      <family val="2"/>
    </font>
    <font>
      <b/>
      <sz val="10"/>
      <color rgb="FFFFFFFF"/>
      <name val="Calibri"/>
      <family val="2"/>
    </font>
    <font>
      <sz val="10"/>
      <color rgb="FF002060"/>
      <name val="Calibri"/>
      <family val="2"/>
    </font>
    <font>
      <b/>
      <sz val="10"/>
      <name val="Calibri"/>
      <family val="2"/>
    </font>
    <font>
      <sz val="10"/>
      <color rgb="FF000000"/>
      <name val="Calibri"/>
      <family val="2"/>
    </font>
    <font>
      <b/>
      <sz val="10"/>
      <color rgb="FF00206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2F5597"/>
        <bgColor rgb="FF2F5597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3" borderId="0" xfId="0" applyFont="1" applyFill="1" applyAlignment="1">
      <alignment horizontal="center"/>
    </xf>
    <xf numFmtId="0" fontId="6" fillId="4" borderId="1" xfId="0" applyFont="1" applyFill="1" applyBorder="1"/>
    <xf numFmtId="0" fontId="7" fillId="0" borderId="1" xfId="0" applyFont="1" applyBorder="1"/>
    <xf numFmtId="0" fontId="4" fillId="0" borderId="1" xfId="0" applyFont="1" applyBorder="1"/>
    <xf numFmtId="0" fontId="8" fillId="5" borderId="1" xfId="0" applyFont="1" applyFill="1" applyBorder="1"/>
    <xf numFmtId="0" fontId="7" fillId="3" borderId="1" xfId="0" applyFont="1" applyFill="1" applyBorder="1"/>
    <xf numFmtId="0" fontId="8" fillId="0" borderId="1" xfId="0" applyFont="1" applyBorder="1"/>
    <xf numFmtId="0" fontId="5" fillId="6" borderId="0" xfId="0" applyFont="1" applyFill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1" fontId="9" fillId="4" borderId="1" xfId="0" applyNumberFormat="1" applyFont="1" applyFill="1" applyBorder="1" applyAlignment="1">
      <alignment horizontal="center"/>
    </xf>
    <xf numFmtId="164" fontId="9" fillId="4" borderId="1" xfId="0" applyNumberFormat="1" applyFont="1" applyFill="1" applyBorder="1" applyAlignment="1">
      <alignment horizontal="right"/>
    </xf>
    <xf numFmtId="165" fontId="9" fillId="4" borderId="1" xfId="0" applyNumberFormat="1" applyFont="1" applyFill="1" applyBorder="1" applyAlignment="1">
      <alignment horizontal="right"/>
    </xf>
    <xf numFmtId="164" fontId="7" fillId="5" borderId="1" xfId="0" applyNumberFormat="1" applyFont="1" applyFill="1" applyBorder="1" applyAlignment="1">
      <alignment horizontal="right"/>
    </xf>
    <xf numFmtId="0" fontId="4" fillId="0" borderId="0" xfId="0" applyFont="1"/>
    <xf numFmtId="166" fontId="4" fillId="0" borderId="1" xfId="0" applyNumberFormat="1" applyFont="1" applyBorder="1"/>
    <xf numFmtId="164" fontId="7" fillId="0" borderId="2" xfId="0" applyNumberFormat="1" applyFont="1" applyBorder="1"/>
    <xf numFmtId="0" fontId="5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vertical="top" wrapText="1"/>
    </xf>
    <xf numFmtId="0" fontId="0" fillId="2" borderId="1" xfId="0" applyFill="1" applyBorder="1" applyAlignment="1"/>
    <xf numFmtId="0" fontId="4" fillId="0" borderId="1" xfId="0" applyFont="1" applyBorder="1" applyAlignment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31"/>
  <sheetViews>
    <sheetView showGridLines="0" tabSelected="1" workbookViewId="0"/>
  </sheetViews>
  <sheetFormatPr defaultRowHeight="14.45"/>
  <cols>
    <col min="1" max="1" width="14" customWidth="1"/>
    <col min="2" max="2" width="28" customWidth="1"/>
    <col min="3" max="3" width="32" customWidth="1"/>
    <col min="4" max="4" width="50" customWidth="1"/>
    <col min="5" max="5" width="14" customWidth="1"/>
  </cols>
  <sheetData>
    <row r="2" spans="2:5" ht="21">
      <c r="B2" s="1" t="s">
        <v>0</v>
      </c>
    </row>
    <row r="3" spans="2:5">
      <c r="B3" s="2" t="s">
        <v>1</v>
      </c>
    </row>
    <row r="5" spans="2:5" ht="15.6">
      <c r="B5" s="3" t="s">
        <v>2</v>
      </c>
    </row>
    <row r="6" spans="2:5">
      <c r="B6" s="25" t="s">
        <v>3</v>
      </c>
      <c r="C6" s="26"/>
      <c r="D6" s="26"/>
      <c r="E6" s="26"/>
    </row>
    <row r="7" spans="2:5">
      <c r="B7" s="26"/>
      <c r="C7" s="26"/>
      <c r="D7" s="26"/>
      <c r="E7" s="26"/>
    </row>
    <row r="8" spans="2:5">
      <c r="B8" s="26"/>
      <c r="C8" s="26"/>
      <c r="D8" s="26"/>
      <c r="E8" s="26"/>
    </row>
    <row r="9" spans="2:5">
      <c r="B9" s="26"/>
      <c r="C9" s="26"/>
      <c r="D9" s="26"/>
      <c r="E9" s="26"/>
    </row>
    <row r="11" spans="2:5" ht="15.6">
      <c r="B11" s="3" t="s">
        <v>4</v>
      </c>
    </row>
    <row r="12" spans="2:5">
      <c r="B12" s="4" t="s">
        <v>5</v>
      </c>
      <c r="C12" s="4" t="s">
        <v>6</v>
      </c>
      <c r="D12" s="4" t="s">
        <v>7</v>
      </c>
    </row>
    <row r="13" spans="2:5">
      <c r="B13" s="5" t="s">
        <v>8</v>
      </c>
      <c r="C13" s="6" t="s">
        <v>9</v>
      </c>
      <c r="D13" s="7" t="s">
        <v>10</v>
      </c>
    </row>
    <row r="14" spans="2:5">
      <c r="B14" s="8" t="s">
        <v>11</v>
      </c>
      <c r="C14" s="6" t="s">
        <v>12</v>
      </c>
      <c r="D14" s="7" t="s">
        <v>13</v>
      </c>
    </row>
    <row r="15" spans="2:5">
      <c r="B15" s="9" t="s">
        <v>14</v>
      </c>
      <c r="C15" s="6" t="s">
        <v>15</v>
      </c>
      <c r="D15" s="7" t="s">
        <v>16</v>
      </c>
    </row>
    <row r="16" spans="2:5">
      <c r="B16" s="10" t="s">
        <v>17</v>
      </c>
      <c r="C16" s="6" t="s">
        <v>18</v>
      </c>
      <c r="D16" s="7" t="s">
        <v>19</v>
      </c>
    </row>
    <row r="18" spans="2:5" ht="15.6">
      <c r="B18" s="3" t="s">
        <v>20</v>
      </c>
    </row>
    <row r="19" spans="2:5">
      <c r="B19" s="11" t="s">
        <v>21</v>
      </c>
      <c r="C19" s="11" t="s">
        <v>22</v>
      </c>
      <c r="D19" s="11" t="s">
        <v>23</v>
      </c>
    </row>
    <row r="20" spans="2:5">
      <c r="B20" s="12" t="s">
        <v>24</v>
      </c>
      <c r="C20" s="6" t="s">
        <v>25</v>
      </c>
      <c r="D20" s="7" t="s">
        <v>26</v>
      </c>
    </row>
    <row r="21" spans="2:5">
      <c r="B21" s="12" t="s">
        <v>27</v>
      </c>
      <c r="C21" s="6" t="s">
        <v>28</v>
      </c>
      <c r="D21" s="7" t="s">
        <v>29</v>
      </c>
    </row>
    <row r="22" spans="2:5">
      <c r="B22" s="12" t="s">
        <v>30</v>
      </c>
      <c r="C22" s="6" t="s">
        <v>31</v>
      </c>
      <c r="D22" s="7" t="s">
        <v>32</v>
      </c>
    </row>
    <row r="23" spans="2:5">
      <c r="B23" s="12" t="s">
        <v>33</v>
      </c>
      <c r="C23" s="6" t="s">
        <v>34</v>
      </c>
      <c r="D23" s="7" t="s">
        <v>35</v>
      </c>
    </row>
    <row r="24" spans="2:5">
      <c r="B24" s="12" t="s">
        <v>36</v>
      </c>
      <c r="C24" s="6" t="s">
        <v>37</v>
      </c>
      <c r="D24" s="7" t="s">
        <v>38</v>
      </c>
    </row>
    <row r="26" spans="2:5" ht="15.6">
      <c r="B26" s="3" t="s">
        <v>39</v>
      </c>
    </row>
    <row r="27" spans="2:5">
      <c r="B27" s="6" t="s">
        <v>40</v>
      </c>
      <c r="C27" s="27" t="s">
        <v>41</v>
      </c>
      <c r="D27" s="28"/>
      <c r="E27" s="28"/>
    </row>
    <row r="28" spans="2:5">
      <c r="B28" s="6" t="s">
        <v>42</v>
      </c>
      <c r="C28" s="27" t="s">
        <v>43</v>
      </c>
      <c r="D28" s="28"/>
      <c r="E28" s="28"/>
    </row>
    <row r="29" spans="2:5">
      <c r="B29" s="6" t="s">
        <v>44</v>
      </c>
      <c r="C29" s="27" t="s">
        <v>45</v>
      </c>
      <c r="D29" s="28"/>
      <c r="E29" s="28"/>
    </row>
    <row r="30" spans="2:5">
      <c r="B30" s="6" t="s">
        <v>46</v>
      </c>
      <c r="C30" s="27" t="s">
        <v>47</v>
      </c>
      <c r="D30" s="28"/>
      <c r="E30" s="28"/>
    </row>
    <row r="31" spans="2:5">
      <c r="B31" s="6" t="s">
        <v>48</v>
      </c>
      <c r="C31" s="27" t="s">
        <v>49</v>
      </c>
      <c r="D31" s="28"/>
      <c r="E31" s="28"/>
    </row>
  </sheetData>
  <mergeCells count="6">
    <mergeCell ref="C28:E28"/>
    <mergeCell ref="C27:E27"/>
    <mergeCell ref="C31:E31"/>
    <mergeCell ref="B6:E9"/>
    <mergeCell ref="C29:E29"/>
    <mergeCell ref="C30:E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47"/>
  <sheetViews>
    <sheetView showGridLines="0" topLeftCell="A31" workbookViewId="0"/>
  </sheetViews>
  <sheetFormatPr defaultRowHeight="14.45"/>
  <cols>
    <col min="1" max="1" width="14" customWidth="1"/>
    <col min="2" max="2" width="42" customWidth="1"/>
    <col min="3" max="3" width="28" customWidth="1"/>
    <col min="4" max="4" width="50" customWidth="1"/>
    <col min="5" max="5" width="30" customWidth="1"/>
  </cols>
  <sheetData>
    <row r="2" spans="2:4" ht="21">
      <c r="B2" s="1" t="s">
        <v>50</v>
      </c>
    </row>
    <row r="3" spans="2:4">
      <c r="B3" s="2" t="s">
        <v>51</v>
      </c>
    </row>
    <row r="5" spans="2:4" ht="15.6">
      <c r="B5" s="3" t="s">
        <v>52</v>
      </c>
    </row>
    <row r="6" spans="2:4">
      <c r="B6" s="13" t="s">
        <v>53</v>
      </c>
      <c r="C6" s="14" t="s">
        <v>54</v>
      </c>
    </row>
    <row r="7" spans="2:4">
      <c r="B7" s="13" t="s">
        <v>55</v>
      </c>
      <c r="C7" s="15" t="s">
        <v>56</v>
      </c>
    </row>
    <row r="8" spans="2:4">
      <c r="B8" s="13" t="s">
        <v>57</v>
      </c>
      <c r="C8" s="16">
        <v>5</v>
      </c>
    </row>
    <row r="9" spans="2:4">
      <c r="B9" s="13" t="s">
        <v>58</v>
      </c>
      <c r="C9" s="17">
        <v>100000</v>
      </c>
    </row>
    <row r="10" spans="2:4">
      <c r="B10" s="13" t="s">
        <v>59</v>
      </c>
      <c r="C10" s="18">
        <v>0.06</v>
      </c>
    </row>
    <row r="11" spans="2:4">
      <c r="B11" s="13" t="s">
        <v>60</v>
      </c>
      <c r="C11" s="17">
        <v>5000</v>
      </c>
    </row>
    <row r="12" spans="2:4">
      <c r="B12" s="13" t="s">
        <v>61</v>
      </c>
      <c r="C12" s="17">
        <v>2000</v>
      </c>
    </row>
    <row r="13" spans="2:4">
      <c r="B13" s="13" t="s">
        <v>62</v>
      </c>
      <c r="C13" s="17">
        <v>1000</v>
      </c>
    </row>
    <row r="15" spans="2:4" ht="15.6">
      <c r="B15" s="3" t="s">
        <v>63</v>
      </c>
    </row>
    <row r="16" spans="2:4">
      <c r="B16" s="13" t="s">
        <v>64</v>
      </c>
      <c r="C16" s="19">
        <f>PV(C10, C8, -C9, 0, 0)</f>
        <v>421236.37855657184</v>
      </c>
      <c r="D16" s="2" t="s">
        <v>65</v>
      </c>
    </row>
    <row r="17" spans="2:5">
      <c r="B17" s="13" t="s">
        <v>66</v>
      </c>
      <c r="C17" s="19">
        <f>C16+C11-C12+C13</f>
        <v>425236.37855657184</v>
      </c>
      <c r="D17" s="2" t="s">
        <v>67</v>
      </c>
    </row>
    <row r="18" spans="2:5">
      <c r="B18" s="13" t="s">
        <v>68</v>
      </c>
      <c r="C18" s="19">
        <f>C17/C8</f>
        <v>85047.275711314374</v>
      </c>
      <c r="D18" s="2" t="s">
        <v>69</v>
      </c>
    </row>
    <row r="19" spans="2:5">
      <c r="B19" s="13" t="s">
        <v>70</v>
      </c>
      <c r="C19" s="19">
        <f>C9*C8</f>
        <v>500000</v>
      </c>
      <c r="D19" s="2" t="s">
        <v>71</v>
      </c>
    </row>
    <row r="20" spans="2:5">
      <c r="B20" s="13" t="s">
        <v>72</v>
      </c>
      <c r="C20" s="19">
        <f>SUM('Amortization Schedule'!E6:E25)</f>
        <v>78763.621443428769</v>
      </c>
      <c r="D20" s="2" t="s">
        <v>73</v>
      </c>
    </row>
    <row r="22" spans="2:5" ht="15.6">
      <c r="B22" s="3" t="s">
        <v>74</v>
      </c>
    </row>
    <row r="23" spans="2:5">
      <c r="B23" s="4" t="s">
        <v>75</v>
      </c>
      <c r="C23" s="4" t="s">
        <v>76</v>
      </c>
      <c r="D23" s="4" t="s">
        <v>77</v>
      </c>
      <c r="E23" s="4" t="s">
        <v>78</v>
      </c>
    </row>
    <row r="24" spans="2:5">
      <c r="B24" s="13" t="s">
        <v>79</v>
      </c>
      <c r="C24" s="20" t="s">
        <v>80</v>
      </c>
      <c r="D24" s="21">
        <f>C17</f>
        <v>425236.37855657184</v>
      </c>
      <c r="E24" s="21">
        <v>0</v>
      </c>
    </row>
    <row r="25" spans="2:5">
      <c r="B25" s="13" t="s">
        <v>81</v>
      </c>
      <c r="C25" s="20" t="s">
        <v>82</v>
      </c>
      <c r="D25" s="21">
        <f>C12</f>
        <v>2000</v>
      </c>
      <c r="E25" s="21">
        <v>0</v>
      </c>
    </row>
    <row r="26" spans="2:5">
      <c r="B26" s="13" t="s">
        <v>83</v>
      </c>
      <c r="C26" s="20" t="s">
        <v>84</v>
      </c>
      <c r="D26" s="21">
        <v>0</v>
      </c>
      <c r="E26" s="21">
        <f>C16</f>
        <v>421236.37855657184</v>
      </c>
    </row>
    <row r="27" spans="2:5">
      <c r="B27" s="13" t="s">
        <v>85</v>
      </c>
      <c r="C27" s="20" t="s">
        <v>82</v>
      </c>
      <c r="D27" s="21">
        <v>0</v>
      </c>
      <c r="E27" s="21">
        <f>C11</f>
        <v>5000</v>
      </c>
    </row>
    <row r="28" spans="2:5">
      <c r="B28" s="13" t="s">
        <v>86</v>
      </c>
      <c r="C28" s="20" t="s">
        <v>87</v>
      </c>
      <c r="D28" s="21">
        <v>0</v>
      </c>
      <c r="E28" s="21">
        <f>C13</f>
        <v>1000</v>
      </c>
    </row>
    <row r="29" spans="2:5">
      <c r="B29" s="13" t="s">
        <v>88</v>
      </c>
      <c r="D29" s="22">
        <f>SUM(D24:D28)</f>
        <v>427236.37855657184</v>
      </c>
      <c r="E29" s="22">
        <f>SUM(E24:E28)</f>
        <v>427236.37855657184</v>
      </c>
    </row>
    <row r="31" spans="2:5" ht="15.6">
      <c r="B31" s="3" t="s">
        <v>89</v>
      </c>
    </row>
    <row r="32" spans="2:5">
      <c r="B32" s="11" t="s">
        <v>75</v>
      </c>
      <c r="C32" s="11" t="s">
        <v>76</v>
      </c>
      <c r="D32" s="11" t="s">
        <v>77</v>
      </c>
      <c r="E32" s="11" t="s">
        <v>78</v>
      </c>
    </row>
    <row r="33" spans="2:5">
      <c r="B33" s="13" t="s">
        <v>90</v>
      </c>
      <c r="C33" s="20" t="s">
        <v>91</v>
      </c>
      <c r="D33" s="21">
        <f>'Amortization Schedule'!I6</f>
        <v>85047.275711314374</v>
      </c>
      <c r="E33" s="21">
        <v>0</v>
      </c>
    </row>
    <row r="34" spans="2:5">
      <c r="B34" s="13" t="s">
        <v>92</v>
      </c>
      <c r="C34" s="20" t="s">
        <v>93</v>
      </c>
      <c r="D34" s="21">
        <v>0</v>
      </c>
      <c r="E34" s="21">
        <f>'Amortization Schedule'!I6</f>
        <v>85047.275711314374</v>
      </c>
    </row>
    <row r="35" spans="2:5">
      <c r="B35" s="13" t="s">
        <v>94</v>
      </c>
      <c r="C35" s="20" t="s">
        <v>95</v>
      </c>
      <c r="D35" s="21">
        <f>'Amortization Schedule'!E6</f>
        <v>25274.182713394308</v>
      </c>
      <c r="E35" s="21">
        <v>0</v>
      </c>
    </row>
    <row r="36" spans="2:5">
      <c r="B36" s="13" t="s">
        <v>96</v>
      </c>
      <c r="C36" s="20" t="s">
        <v>97</v>
      </c>
      <c r="D36" s="21">
        <f>'Amortization Schedule'!F6</f>
        <v>74725.817286605685</v>
      </c>
      <c r="E36" s="21">
        <v>0</v>
      </c>
    </row>
    <row r="37" spans="2:5">
      <c r="B37" s="13" t="s">
        <v>98</v>
      </c>
      <c r="C37" s="20" t="s">
        <v>99</v>
      </c>
      <c r="D37" s="21">
        <v>0</v>
      </c>
      <c r="E37" s="21">
        <f>'Amortization Schedule'!D6</f>
        <v>100000</v>
      </c>
    </row>
    <row r="39" spans="2:5" ht="15.6">
      <c r="B39" s="3" t="s">
        <v>100</v>
      </c>
    </row>
    <row r="40" spans="2:5">
      <c r="B40" s="4" t="s">
        <v>76</v>
      </c>
      <c r="C40" s="4" t="s">
        <v>101</v>
      </c>
      <c r="D40" s="4" t="s">
        <v>102</v>
      </c>
    </row>
    <row r="41" spans="2:5">
      <c r="B41" s="6" t="s">
        <v>103</v>
      </c>
      <c r="C41" s="6" t="s">
        <v>104</v>
      </c>
      <c r="D41" s="7" t="s">
        <v>105</v>
      </c>
    </row>
    <row r="42" spans="2:5">
      <c r="B42" s="6" t="s">
        <v>103</v>
      </c>
      <c r="C42" s="6" t="s">
        <v>106</v>
      </c>
      <c r="D42" s="7" t="s">
        <v>107</v>
      </c>
    </row>
    <row r="43" spans="2:5">
      <c r="B43" s="6" t="s">
        <v>108</v>
      </c>
      <c r="C43" s="6" t="s">
        <v>109</v>
      </c>
      <c r="D43" s="7" t="s">
        <v>110</v>
      </c>
    </row>
    <row r="44" spans="2:5">
      <c r="B44" s="6" t="s">
        <v>108</v>
      </c>
      <c r="C44" s="6" t="s">
        <v>111</v>
      </c>
      <c r="D44" s="7" t="s">
        <v>112</v>
      </c>
    </row>
    <row r="45" spans="2:5">
      <c r="B45" s="6" t="s">
        <v>108</v>
      </c>
      <c r="C45" s="6" t="s">
        <v>113</v>
      </c>
      <c r="D45" s="7" t="s">
        <v>114</v>
      </c>
    </row>
    <row r="46" spans="2:5">
      <c r="B46" s="6" t="s">
        <v>115</v>
      </c>
      <c r="C46" s="6" t="s">
        <v>116</v>
      </c>
      <c r="D46" s="7" t="s">
        <v>117</v>
      </c>
    </row>
    <row r="47" spans="2:5">
      <c r="B47" s="6" t="s">
        <v>115</v>
      </c>
      <c r="C47" s="6" t="s">
        <v>118</v>
      </c>
      <c r="D47" s="7" t="s">
        <v>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25"/>
  <sheetViews>
    <sheetView showGridLines="0" workbookViewId="0"/>
  </sheetViews>
  <sheetFormatPr defaultRowHeight="14.45"/>
  <cols>
    <col min="1" max="1" width="14" customWidth="1"/>
    <col min="2" max="2" width="52" customWidth="1"/>
    <col min="3" max="3" width="44" customWidth="1"/>
    <col min="4" max="5" width="52" customWidth="1"/>
    <col min="6" max="7" width="48" customWidth="1"/>
    <col min="8" max="8" width="44" customWidth="1"/>
    <col min="9" max="9" width="52" customWidth="1"/>
    <col min="10" max="10" width="48" customWidth="1"/>
    <col min="11" max="11" width="45" customWidth="1"/>
    <col min="12" max="13" width="48" customWidth="1"/>
  </cols>
  <sheetData>
    <row r="2" spans="2:13" ht="21">
      <c r="B2" s="1" t="s">
        <v>120</v>
      </c>
    </row>
    <row r="3" spans="2:13">
      <c r="B3" s="2" t="s">
        <v>121</v>
      </c>
    </row>
    <row r="5" spans="2:13">
      <c r="B5" s="23" t="s">
        <v>122</v>
      </c>
      <c r="C5" s="23" t="s">
        <v>123</v>
      </c>
      <c r="D5" s="23" t="s">
        <v>124</v>
      </c>
      <c r="E5" s="23" t="s">
        <v>125</v>
      </c>
      <c r="F5" s="23" t="s">
        <v>126</v>
      </c>
      <c r="G5" s="23" t="s">
        <v>127</v>
      </c>
      <c r="H5" s="23" t="s">
        <v>128</v>
      </c>
      <c r="I5" s="23" t="s">
        <v>129</v>
      </c>
      <c r="J5" s="23" t="s">
        <v>130</v>
      </c>
      <c r="K5" s="23" t="s">
        <v>131</v>
      </c>
      <c r="L5" s="23" t="s">
        <v>132</v>
      </c>
      <c r="M5" s="23" t="s">
        <v>133</v>
      </c>
    </row>
    <row r="6" spans="2:13">
      <c r="B6" s="24">
        <v>1</v>
      </c>
      <c r="C6" s="21">
        <f>'Lease Calculator'!C16</f>
        <v>421236.37855657184</v>
      </c>
      <c r="D6" s="21">
        <f>IF(B6&lt;='Lease Calculator'!$C$8, 'Lease Calculator'!$C$9, 0)</f>
        <v>100000</v>
      </c>
      <c r="E6" s="21">
        <f>IF(B6&lt;='Lease Calculator'!$C$8, C6*'Lease Calculator'!$C$10, 0)</f>
        <v>25274.182713394308</v>
      </c>
      <c r="F6" s="21">
        <f>IF(B6&lt;='Lease Calculator'!$C$8, D6-E6, 0)</f>
        <v>74725.817286605685</v>
      </c>
      <c r="G6" s="21">
        <f>IF(B6&lt;='Lease Calculator'!$C$8, C6-F6, 0)</f>
        <v>346510.56126996619</v>
      </c>
      <c r="H6" s="21">
        <f>'Lease Calculator'!C17</f>
        <v>425236.37855657184</v>
      </c>
      <c r="I6" s="21">
        <f>IF(B6&lt;='Lease Calculator'!$C$8, 'Lease Calculator'!$C$18, 0)</f>
        <v>85047.275711314374</v>
      </c>
      <c r="J6" s="21">
        <f>IF(B6&lt;='Lease Calculator'!$C$8, H6-I6, 0)</f>
        <v>340189.1028452575</v>
      </c>
      <c r="K6" s="21">
        <f>IF(B6&lt;'Lease Calculator'!$C$8, F7, G6)</f>
        <v>79209.366323802038</v>
      </c>
      <c r="L6" s="21">
        <f>IF(B6&lt;='Lease Calculator'!$C$8, G6-K6, 0)</f>
        <v>267301.19494616415</v>
      </c>
      <c r="M6" s="21">
        <f>IF(B6&lt;='Lease Calculator'!$C$8, E6+I6, 0)</f>
        <v>110321.45842470869</v>
      </c>
    </row>
    <row r="7" spans="2:13">
      <c r="B7" s="24">
        <v>2</v>
      </c>
      <c r="C7" s="21">
        <f>IF(B7&lt;='Lease Calculator'!$C$8, G6, 0)</f>
        <v>346510.56126996619</v>
      </c>
      <c r="D7" s="21">
        <f>IF(B7&lt;='Lease Calculator'!$C$8, 'Lease Calculator'!$C$9, 0)</f>
        <v>100000</v>
      </c>
      <c r="E7" s="21">
        <f>IF(B7&lt;='Lease Calculator'!$C$8, C7*'Lease Calculator'!$C$10, 0)</f>
        <v>20790.633676197969</v>
      </c>
      <c r="F7" s="21">
        <f>IF(B7&lt;='Lease Calculator'!$C$8, D7-E7, 0)</f>
        <v>79209.366323802038</v>
      </c>
      <c r="G7" s="21">
        <f>IF(B7&lt;='Lease Calculator'!$C$8, C7-F7, 0)</f>
        <v>267301.19494616415</v>
      </c>
      <c r="H7" s="21">
        <f>IF(B7&lt;='Lease Calculator'!$C$8, J6, 0)</f>
        <v>340189.1028452575</v>
      </c>
      <c r="I7" s="21">
        <f>IF(B7&lt;='Lease Calculator'!$C$8, 'Lease Calculator'!$C$18, 0)</f>
        <v>85047.275711314374</v>
      </c>
      <c r="J7" s="21">
        <f>IF(B7&lt;='Lease Calculator'!$C$8, H7-I7, 0)</f>
        <v>255141.82713394312</v>
      </c>
      <c r="K7" s="21">
        <f>IF(B7&lt;'Lease Calculator'!$C$8, F8, G7)</f>
        <v>83961.928303230146</v>
      </c>
      <c r="L7" s="21">
        <f>IF(B7&lt;='Lease Calculator'!$C$8, G7-K7, 0)</f>
        <v>183339.266642934</v>
      </c>
      <c r="M7" s="21">
        <f>IF(B7&lt;='Lease Calculator'!$C$8, E7+I7, 0)</f>
        <v>105837.90938751234</v>
      </c>
    </row>
    <row r="8" spans="2:13">
      <c r="B8" s="24">
        <v>3</v>
      </c>
      <c r="C8" s="21">
        <f>IF(B8&lt;='Lease Calculator'!$C$8, G7, 0)</f>
        <v>267301.19494616415</v>
      </c>
      <c r="D8" s="21">
        <f>IF(B8&lt;='Lease Calculator'!$C$8, 'Lease Calculator'!$C$9, 0)</f>
        <v>100000</v>
      </c>
      <c r="E8" s="21">
        <f>IF(B8&lt;='Lease Calculator'!$C$8, C8*'Lease Calculator'!$C$10, 0)</f>
        <v>16038.071696769848</v>
      </c>
      <c r="F8" s="21">
        <f>IF(B8&lt;='Lease Calculator'!$C$8, D8-E8, 0)</f>
        <v>83961.928303230146</v>
      </c>
      <c r="G8" s="21">
        <f>IF(B8&lt;='Lease Calculator'!$C$8, C8-F8, 0)</f>
        <v>183339.266642934</v>
      </c>
      <c r="H8" s="21">
        <f>IF(B8&lt;='Lease Calculator'!$C$8, J7, 0)</f>
        <v>255141.82713394312</v>
      </c>
      <c r="I8" s="21">
        <f>IF(B8&lt;='Lease Calculator'!$C$8, 'Lease Calculator'!$C$18, 0)</f>
        <v>85047.275711314374</v>
      </c>
      <c r="J8" s="21">
        <f>IF(B8&lt;='Lease Calculator'!$C$8, H8-I8, 0)</f>
        <v>170094.55142262875</v>
      </c>
      <c r="K8" s="21">
        <f>IF(B8&lt;'Lease Calculator'!$C$8, F9, G8)</f>
        <v>88999.644001423963</v>
      </c>
      <c r="L8" s="21">
        <f>IF(B8&lt;='Lease Calculator'!$C$8, G8-K8, 0)</f>
        <v>94339.622641510039</v>
      </c>
      <c r="M8" s="21">
        <f>IF(B8&lt;='Lease Calculator'!$C$8, E8+I8, 0)</f>
        <v>101085.34740808423</v>
      </c>
    </row>
    <row r="9" spans="2:13">
      <c r="B9" s="24">
        <v>4</v>
      </c>
      <c r="C9" s="21">
        <f>IF(B9&lt;='Lease Calculator'!$C$8, G8, 0)</f>
        <v>183339.266642934</v>
      </c>
      <c r="D9" s="21">
        <f>IF(B9&lt;='Lease Calculator'!$C$8, 'Lease Calculator'!$C$9, 0)</f>
        <v>100000</v>
      </c>
      <c r="E9" s="21">
        <f>IF(B9&lt;='Lease Calculator'!$C$8, C9*'Lease Calculator'!$C$10, 0)</f>
        <v>11000.35599857604</v>
      </c>
      <c r="F9" s="21">
        <f>IF(B9&lt;='Lease Calculator'!$C$8, D9-E9, 0)</f>
        <v>88999.644001423963</v>
      </c>
      <c r="G9" s="21">
        <f>IF(B9&lt;='Lease Calculator'!$C$8, C9-F9, 0)</f>
        <v>94339.622641510039</v>
      </c>
      <c r="H9" s="21">
        <f>IF(B9&lt;='Lease Calculator'!$C$8, J8, 0)</f>
        <v>170094.55142262875</v>
      </c>
      <c r="I9" s="21">
        <f>IF(B9&lt;='Lease Calculator'!$C$8, 'Lease Calculator'!$C$18, 0)</f>
        <v>85047.275711314374</v>
      </c>
      <c r="J9" s="21">
        <f>IF(B9&lt;='Lease Calculator'!$C$8, H9-I9, 0)</f>
        <v>85047.275711314374</v>
      </c>
      <c r="K9" s="21">
        <f>IF(B9&lt;'Lease Calculator'!$C$8, F10, G9)</f>
        <v>94339.622641509399</v>
      </c>
      <c r="L9" s="21">
        <f>IF(B9&lt;='Lease Calculator'!$C$8, G9-K9, 0)</f>
        <v>6.4028427004814148E-10</v>
      </c>
      <c r="M9" s="21">
        <f>IF(B9&lt;='Lease Calculator'!$C$8, E9+I9, 0)</f>
        <v>96047.631709890411</v>
      </c>
    </row>
    <row r="10" spans="2:13">
      <c r="B10" s="24">
        <v>5</v>
      </c>
      <c r="C10" s="21">
        <f>IF(B10&lt;='Lease Calculator'!$C$8, G9, 0)</f>
        <v>94339.622641510039</v>
      </c>
      <c r="D10" s="21">
        <f>IF(B10&lt;='Lease Calculator'!$C$8, 'Lease Calculator'!$C$9, 0)</f>
        <v>100000</v>
      </c>
      <c r="E10" s="21">
        <f>IF(B10&lt;='Lease Calculator'!$C$8, C10*'Lease Calculator'!$C$10, 0)</f>
        <v>5660.3773584906021</v>
      </c>
      <c r="F10" s="21">
        <f>IF(B10&lt;='Lease Calculator'!$C$8, D10-E10, 0)</f>
        <v>94339.622641509399</v>
      </c>
      <c r="G10" s="21">
        <f>IF(B10&lt;='Lease Calculator'!$C$8, C10-F10, 0)</f>
        <v>6.4028427004814148E-10</v>
      </c>
      <c r="H10" s="21">
        <f>IF(B10&lt;='Lease Calculator'!$C$8, J9, 0)</f>
        <v>85047.275711314374</v>
      </c>
      <c r="I10" s="21">
        <f>IF(B10&lt;='Lease Calculator'!$C$8, 'Lease Calculator'!$C$18, 0)</f>
        <v>85047.275711314374</v>
      </c>
      <c r="J10" s="21">
        <f>IF(B10&lt;='Lease Calculator'!$C$8, H10-I10, 0)</f>
        <v>0</v>
      </c>
      <c r="K10" s="21">
        <f>IF(B10&lt;'Lease Calculator'!$C$8, F11, G10)</f>
        <v>6.4028427004814148E-10</v>
      </c>
      <c r="L10" s="21">
        <f>IF(B10&lt;='Lease Calculator'!$C$8, G10-K10, 0)</f>
        <v>0</v>
      </c>
      <c r="M10" s="21">
        <f>IF(B10&lt;='Lease Calculator'!$C$8, E10+I10, 0)</f>
        <v>90707.653069804976</v>
      </c>
    </row>
    <row r="11" spans="2:13">
      <c r="B11" s="24">
        <v>6</v>
      </c>
      <c r="C11" s="21">
        <f>IF(B11&lt;='Lease Calculator'!$C$8, G10, 0)</f>
        <v>0</v>
      </c>
      <c r="D11" s="21">
        <f>IF(B11&lt;='Lease Calculator'!$C$8, 'Lease Calculator'!$C$9, 0)</f>
        <v>0</v>
      </c>
      <c r="E11" s="21">
        <f>IF(B11&lt;='Lease Calculator'!$C$8, C11*'Lease Calculator'!$C$10, 0)</f>
        <v>0</v>
      </c>
      <c r="F11" s="21">
        <f>IF(B11&lt;='Lease Calculator'!$C$8, D11-E11, 0)</f>
        <v>0</v>
      </c>
      <c r="G11" s="21">
        <f>IF(B11&lt;='Lease Calculator'!$C$8, C11-F11, 0)</f>
        <v>0</v>
      </c>
      <c r="H11" s="21">
        <f>IF(B11&lt;='Lease Calculator'!$C$8, J10, 0)</f>
        <v>0</v>
      </c>
      <c r="I11" s="21">
        <f>IF(B11&lt;='Lease Calculator'!$C$8, 'Lease Calculator'!$C$18, 0)</f>
        <v>0</v>
      </c>
      <c r="J11" s="21">
        <f>IF(B11&lt;='Lease Calculator'!$C$8, H11-I11, 0)</f>
        <v>0</v>
      </c>
      <c r="K11" s="21">
        <f>IF(B11&lt;'Lease Calculator'!$C$8, F12, G11)</f>
        <v>0</v>
      </c>
      <c r="L11" s="21">
        <f>IF(B11&lt;='Lease Calculator'!$C$8, G11-K11, 0)</f>
        <v>0</v>
      </c>
      <c r="M11" s="21">
        <f>IF(B11&lt;='Lease Calculator'!$C$8, E11+I11, 0)</f>
        <v>0</v>
      </c>
    </row>
    <row r="12" spans="2:13">
      <c r="B12" s="24">
        <v>7</v>
      </c>
      <c r="C12" s="21">
        <f>IF(B12&lt;='Lease Calculator'!$C$8, G11, 0)</f>
        <v>0</v>
      </c>
      <c r="D12" s="21">
        <f>IF(B12&lt;='Lease Calculator'!$C$8, 'Lease Calculator'!$C$9, 0)</f>
        <v>0</v>
      </c>
      <c r="E12" s="21">
        <f>IF(B12&lt;='Lease Calculator'!$C$8, C12*'Lease Calculator'!$C$10, 0)</f>
        <v>0</v>
      </c>
      <c r="F12" s="21">
        <f>IF(B12&lt;='Lease Calculator'!$C$8, D12-E12, 0)</f>
        <v>0</v>
      </c>
      <c r="G12" s="21">
        <f>IF(B12&lt;='Lease Calculator'!$C$8, C12-F12, 0)</f>
        <v>0</v>
      </c>
      <c r="H12" s="21">
        <f>IF(B12&lt;='Lease Calculator'!$C$8, J11, 0)</f>
        <v>0</v>
      </c>
      <c r="I12" s="21">
        <f>IF(B12&lt;='Lease Calculator'!$C$8, 'Lease Calculator'!$C$18, 0)</f>
        <v>0</v>
      </c>
      <c r="J12" s="21">
        <f>IF(B12&lt;='Lease Calculator'!$C$8, H12-I12, 0)</f>
        <v>0</v>
      </c>
      <c r="K12" s="21">
        <f>IF(B12&lt;'Lease Calculator'!$C$8, F13, G12)</f>
        <v>0</v>
      </c>
      <c r="L12" s="21">
        <f>IF(B12&lt;='Lease Calculator'!$C$8, G12-K12, 0)</f>
        <v>0</v>
      </c>
      <c r="M12" s="21">
        <f>IF(B12&lt;='Lease Calculator'!$C$8, E12+I12, 0)</f>
        <v>0</v>
      </c>
    </row>
    <row r="13" spans="2:13">
      <c r="B13" s="24">
        <v>8</v>
      </c>
      <c r="C13" s="21">
        <f>IF(B13&lt;='Lease Calculator'!$C$8, G12, 0)</f>
        <v>0</v>
      </c>
      <c r="D13" s="21">
        <f>IF(B13&lt;='Lease Calculator'!$C$8, 'Lease Calculator'!$C$9, 0)</f>
        <v>0</v>
      </c>
      <c r="E13" s="21">
        <f>IF(B13&lt;='Lease Calculator'!$C$8, C13*'Lease Calculator'!$C$10, 0)</f>
        <v>0</v>
      </c>
      <c r="F13" s="21">
        <f>IF(B13&lt;='Lease Calculator'!$C$8, D13-E13, 0)</f>
        <v>0</v>
      </c>
      <c r="G13" s="21">
        <f>IF(B13&lt;='Lease Calculator'!$C$8, C13-F13, 0)</f>
        <v>0</v>
      </c>
      <c r="H13" s="21">
        <f>IF(B13&lt;='Lease Calculator'!$C$8, J12, 0)</f>
        <v>0</v>
      </c>
      <c r="I13" s="21">
        <f>IF(B13&lt;='Lease Calculator'!$C$8, 'Lease Calculator'!$C$18, 0)</f>
        <v>0</v>
      </c>
      <c r="J13" s="21">
        <f>IF(B13&lt;='Lease Calculator'!$C$8, H13-I13, 0)</f>
        <v>0</v>
      </c>
      <c r="K13" s="21">
        <f>IF(B13&lt;'Lease Calculator'!$C$8, F14, G13)</f>
        <v>0</v>
      </c>
      <c r="L13" s="21">
        <f>IF(B13&lt;='Lease Calculator'!$C$8, G13-K13, 0)</f>
        <v>0</v>
      </c>
      <c r="M13" s="21">
        <f>IF(B13&lt;='Lease Calculator'!$C$8, E13+I13, 0)</f>
        <v>0</v>
      </c>
    </row>
    <row r="14" spans="2:13">
      <c r="B14" s="24">
        <v>9</v>
      </c>
      <c r="C14" s="21">
        <f>IF(B14&lt;='Lease Calculator'!$C$8, G13, 0)</f>
        <v>0</v>
      </c>
      <c r="D14" s="21">
        <f>IF(B14&lt;='Lease Calculator'!$C$8, 'Lease Calculator'!$C$9, 0)</f>
        <v>0</v>
      </c>
      <c r="E14" s="21">
        <f>IF(B14&lt;='Lease Calculator'!$C$8, C14*'Lease Calculator'!$C$10, 0)</f>
        <v>0</v>
      </c>
      <c r="F14" s="21">
        <f>IF(B14&lt;='Lease Calculator'!$C$8, D14-E14, 0)</f>
        <v>0</v>
      </c>
      <c r="G14" s="21">
        <f>IF(B14&lt;='Lease Calculator'!$C$8, C14-F14, 0)</f>
        <v>0</v>
      </c>
      <c r="H14" s="21">
        <f>IF(B14&lt;='Lease Calculator'!$C$8, J13, 0)</f>
        <v>0</v>
      </c>
      <c r="I14" s="21">
        <f>IF(B14&lt;='Lease Calculator'!$C$8, 'Lease Calculator'!$C$18, 0)</f>
        <v>0</v>
      </c>
      <c r="J14" s="21">
        <f>IF(B14&lt;='Lease Calculator'!$C$8, H14-I14, 0)</f>
        <v>0</v>
      </c>
      <c r="K14" s="21">
        <f>IF(B14&lt;'Lease Calculator'!$C$8, F15, G14)</f>
        <v>0</v>
      </c>
      <c r="L14" s="21">
        <f>IF(B14&lt;='Lease Calculator'!$C$8, G14-K14, 0)</f>
        <v>0</v>
      </c>
      <c r="M14" s="21">
        <f>IF(B14&lt;='Lease Calculator'!$C$8, E14+I14, 0)</f>
        <v>0</v>
      </c>
    </row>
    <row r="15" spans="2:13">
      <c r="B15" s="24">
        <v>10</v>
      </c>
      <c r="C15" s="21">
        <f>IF(B15&lt;='Lease Calculator'!$C$8, G14, 0)</f>
        <v>0</v>
      </c>
      <c r="D15" s="21">
        <f>IF(B15&lt;='Lease Calculator'!$C$8, 'Lease Calculator'!$C$9, 0)</f>
        <v>0</v>
      </c>
      <c r="E15" s="21">
        <f>IF(B15&lt;='Lease Calculator'!$C$8, C15*'Lease Calculator'!$C$10, 0)</f>
        <v>0</v>
      </c>
      <c r="F15" s="21">
        <f>IF(B15&lt;='Lease Calculator'!$C$8, D15-E15, 0)</f>
        <v>0</v>
      </c>
      <c r="G15" s="21">
        <f>IF(B15&lt;='Lease Calculator'!$C$8, C15-F15, 0)</f>
        <v>0</v>
      </c>
      <c r="H15" s="21">
        <f>IF(B15&lt;='Lease Calculator'!$C$8, J14, 0)</f>
        <v>0</v>
      </c>
      <c r="I15" s="21">
        <f>IF(B15&lt;='Lease Calculator'!$C$8, 'Lease Calculator'!$C$18, 0)</f>
        <v>0</v>
      </c>
      <c r="J15" s="21">
        <f>IF(B15&lt;='Lease Calculator'!$C$8, H15-I15, 0)</f>
        <v>0</v>
      </c>
      <c r="K15" s="21">
        <f>IF(B15&lt;'Lease Calculator'!$C$8, F16, G15)</f>
        <v>0</v>
      </c>
      <c r="L15" s="21">
        <f>IF(B15&lt;='Lease Calculator'!$C$8, G15-K15, 0)</f>
        <v>0</v>
      </c>
      <c r="M15" s="21">
        <f>IF(B15&lt;='Lease Calculator'!$C$8, E15+I15, 0)</f>
        <v>0</v>
      </c>
    </row>
    <row r="16" spans="2:13">
      <c r="B16" s="24">
        <v>11</v>
      </c>
      <c r="C16" s="21">
        <f>IF(B16&lt;='Lease Calculator'!$C$8, G15, 0)</f>
        <v>0</v>
      </c>
      <c r="D16" s="21">
        <f>IF(B16&lt;='Lease Calculator'!$C$8, 'Lease Calculator'!$C$9, 0)</f>
        <v>0</v>
      </c>
      <c r="E16" s="21">
        <f>IF(B16&lt;='Lease Calculator'!$C$8, C16*'Lease Calculator'!$C$10, 0)</f>
        <v>0</v>
      </c>
      <c r="F16" s="21">
        <f>IF(B16&lt;='Lease Calculator'!$C$8, D16-E16, 0)</f>
        <v>0</v>
      </c>
      <c r="G16" s="21">
        <f>IF(B16&lt;='Lease Calculator'!$C$8, C16-F16, 0)</f>
        <v>0</v>
      </c>
      <c r="H16" s="21">
        <f>IF(B16&lt;='Lease Calculator'!$C$8, J15, 0)</f>
        <v>0</v>
      </c>
      <c r="I16" s="21">
        <f>IF(B16&lt;='Lease Calculator'!$C$8, 'Lease Calculator'!$C$18, 0)</f>
        <v>0</v>
      </c>
      <c r="J16" s="21">
        <f>IF(B16&lt;='Lease Calculator'!$C$8, H16-I16, 0)</f>
        <v>0</v>
      </c>
      <c r="K16" s="21">
        <f>IF(B16&lt;'Lease Calculator'!$C$8, F17, G16)</f>
        <v>0</v>
      </c>
      <c r="L16" s="21">
        <f>IF(B16&lt;='Lease Calculator'!$C$8, G16-K16, 0)</f>
        <v>0</v>
      </c>
      <c r="M16" s="21">
        <f>IF(B16&lt;='Lease Calculator'!$C$8, E16+I16, 0)</f>
        <v>0</v>
      </c>
    </row>
    <row r="17" spans="2:13">
      <c r="B17" s="24">
        <v>12</v>
      </c>
      <c r="C17" s="21">
        <f>IF(B17&lt;='Lease Calculator'!$C$8, G16, 0)</f>
        <v>0</v>
      </c>
      <c r="D17" s="21">
        <f>IF(B17&lt;='Lease Calculator'!$C$8, 'Lease Calculator'!$C$9, 0)</f>
        <v>0</v>
      </c>
      <c r="E17" s="21">
        <f>IF(B17&lt;='Lease Calculator'!$C$8, C17*'Lease Calculator'!$C$10, 0)</f>
        <v>0</v>
      </c>
      <c r="F17" s="21">
        <f>IF(B17&lt;='Lease Calculator'!$C$8, D17-E17, 0)</f>
        <v>0</v>
      </c>
      <c r="G17" s="21">
        <f>IF(B17&lt;='Lease Calculator'!$C$8, C17-F17, 0)</f>
        <v>0</v>
      </c>
      <c r="H17" s="21">
        <f>IF(B17&lt;='Lease Calculator'!$C$8, J16, 0)</f>
        <v>0</v>
      </c>
      <c r="I17" s="21">
        <f>IF(B17&lt;='Lease Calculator'!$C$8, 'Lease Calculator'!$C$18, 0)</f>
        <v>0</v>
      </c>
      <c r="J17" s="21">
        <f>IF(B17&lt;='Lease Calculator'!$C$8, H17-I17, 0)</f>
        <v>0</v>
      </c>
      <c r="K17" s="21">
        <f>IF(B17&lt;'Lease Calculator'!$C$8, F18, G17)</f>
        <v>0</v>
      </c>
      <c r="L17" s="21">
        <f>IF(B17&lt;='Lease Calculator'!$C$8, G17-K17, 0)</f>
        <v>0</v>
      </c>
      <c r="M17" s="21">
        <f>IF(B17&lt;='Lease Calculator'!$C$8, E17+I17, 0)</f>
        <v>0</v>
      </c>
    </row>
    <row r="18" spans="2:13">
      <c r="B18" s="24">
        <v>13</v>
      </c>
      <c r="C18" s="21">
        <f>IF(B18&lt;='Lease Calculator'!$C$8, G17, 0)</f>
        <v>0</v>
      </c>
      <c r="D18" s="21">
        <f>IF(B18&lt;='Lease Calculator'!$C$8, 'Lease Calculator'!$C$9, 0)</f>
        <v>0</v>
      </c>
      <c r="E18" s="21">
        <f>IF(B18&lt;='Lease Calculator'!$C$8, C18*'Lease Calculator'!$C$10, 0)</f>
        <v>0</v>
      </c>
      <c r="F18" s="21">
        <f>IF(B18&lt;='Lease Calculator'!$C$8, D18-E18, 0)</f>
        <v>0</v>
      </c>
      <c r="G18" s="21">
        <f>IF(B18&lt;='Lease Calculator'!$C$8, C18-F18, 0)</f>
        <v>0</v>
      </c>
      <c r="H18" s="21">
        <f>IF(B18&lt;='Lease Calculator'!$C$8, J17, 0)</f>
        <v>0</v>
      </c>
      <c r="I18" s="21">
        <f>IF(B18&lt;='Lease Calculator'!$C$8, 'Lease Calculator'!$C$18, 0)</f>
        <v>0</v>
      </c>
      <c r="J18" s="21">
        <f>IF(B18&lt;='Lease Calculator'!$C$8, H18-I18, 0)</f>
        <v>0</v>
      </c>
      <c r="K18" s="21">
        <f>IF(B18&lt;'Lease Calculator'!$C$8, F19, G18)</f>
        <v>0</v>
      </c>
      <c r="L18" s="21">
        <f>IF(B18&lt;='Lease Calculator'!$C$8, G18-K18, 0)</f>
        <v>0</v>
      </c>
      <c r="M18" s="21">
        <f>IF(B18&lt;='Lease Calculator'!$C$8, E18+I18, 0)</f>
        <v>0</v>
      </c>
    </row>
    <row r="19" spans="2:13">
      <c r="B19" s="24">
        <v>14</v>
      </c>
      <c r="C19" s="21">
        <f>IF(B19&lt;='Lease Calculator'!$C$8, G18, 0)</f>
        <v>0</v>
      </c>
      <c r="D19" s="21">
        <f>IF(B19&lt;='Lease Calculator'!$C$8, 'Lease Calculator'!$C$9, 0)</f>
        <v>0</v>
      </c>
      <c r="E19" s="21">
        <f>IF(B19&lt;='Lease Calculator'!$C$8, C19*'Lease Calculator'!$C$10, 0)</f>
        <v>0</v>
      </c>
      <c r="F19" s="21">
        <f>IF(B19&lt;='Lease Calculator'!$C$8, D19-E19, 0)</f>
        <v>0</v>
      </c>
      <c r="G19" s="21">
        <f>IF(B19&lt;='Lease Calculator'!$C$8, C19-F19, 0)</f>
        <v>0</v>
      </c>
      <c r="H19" s="21">
        <f>IF(B19&lt;='Lease Calculator'!$C$8, J18, 0)</f>
        <v>0</v>
      </c>
      <c r="I19" s="21">
        <f>IF(B19&lt;='Lease Calculator'!$C$8, 'Lease Calculator'!$C$18, 0)</f>
        <v>0</v>
      </c>
      <c r="J19" s="21">
        <f>IF(B19&lt;='Lease Calculator'!$C$8, H19-I19, 0)</f>
        <v>0</v>
      </c>
      <c r="K19" s="21">
        <f>IF(B19&lt;'Lease Calculator'!$C$8, F20, G19)</f>
        <v>0</v>
      </c>
      <c r="L19" s="21">
        <f>IF(B19&lt;='Lease Calculator'!$C$8, G19-K19, 0)</f>
        <v>0</v>
      </c>
      <c r="M19" s="21">
        <f>IF(B19&lt;='Lease Calculator'!$C$8, E19+I19, 0)</f>
        <v>0</v>
      </c>
    </row>
    <row r="20" spans="2:13">
      <c r="B20" s="24">
        <v>15</v>
      </c>
      <c r="C20" s="21">
        <f>IF(B20&lt;='Lease Calculator'!$C$8, G19, 0)</f>
        <v>0</v>
      </c>
      <c r="D20" s="21">
        <f>IF(B20&lt;='Lease Calculator'!$C$8, 'Lease Calculator'!$C$9, 0)</f>
        <v>0</v>
      </c>
      <c r="E20" s="21">
        <f>IF(B20&lt;='Lease Calculator'!$C$8, C20*'Lease Calculator'!$C$10, 0)</f>
        <v>0</v>
      </c>
      <c r="F20" s="21">
        <f>IF(B20&lt;='Lease Calculator'!$C$8, D20-E20, 0)</f>
        <v>0</v>
      </c>
      <c r="G20" s="21">
        <f>IF(B20&lt;='Lease Calculator'!$C$8, C20-F20, 0)</f>
        <v>0</v>
      </c>
      <c r="H20" s="21">
        <f>IF(B20&lt;='Lease Calculator'!$C$8, J19, 0)</f>
        <v>0</v>
      </c>
      <c r="I20" s="21">
        <f>IF(B20&lt;='Lease Calculator'!$C$8, 'Lease Calculator'!$C$18, 0)</f>
        <v>0</v>
      </c>
      <c r="J20" s="21">
        <f>IF(B20&lt;='Lease Calculator'!$C$8, H20-I20, 0)</f>
        <v>0</v>
      </c>
      <c r="K20" s="21">
        <f>IF(B20&lt;'Lease Calculator'!$C$8, F21, G20)</f>
        <v>0</v>
      </c>
      <c r="L20" s="21">
        <f>IF(B20&lt;='Lease Calculator'!$C$8, G20-K20, 0)</f>
        <v>0</v>
      </c>
      <c r="M20" s="21">
        <f>IF(B20&lt;='Lease Calculator'!$C$8, E20+I20, 0)</f>
        <v>0</v>
      </c>
    </row>
    <row r="21" spans="2:13">
      <c r="B21" s="24">
        <v>16</v>
      </c>
      <c r="C21" s="21">
        <f>IF(B21&lt;='Lease Calculator'!$C$8, G20, 0)</f>
        <v>0</v>
      </c>
      <c r="D21" s="21">
        <f>IF(B21&lt;='Lease Calculator'!$C$8, 'Lease Calculator'!$C$9, 0)</f>
        <v>0</v>
      </c>
      <c r="E21" s="21">
        <f>IF(B21&lt;='Lease Calculator'!$C$8, C21*'Lease Calculator'!$C$10, 0)</f>
        <v>0</v>
      </c>
      <c r="F21" s="21">
        <f>IF(B21&lt;='Lease Calculator'!$C$8, D21-E21, 0)</f>
        <v>0</v>
      </c>
      <c r="G21" s="21">
        <f>IF(B21&lt;='Lease Calculator'!$C$8, C21-F21, 0)</f>
        <v>0</v>
      </c>
      <c r="H21" s="21">
        <f>IF(B21&lt;='Lease Calculator'!$C$8, J20, 0)</f>
        <v>0</v>
      </c>
      <c r="I21" s="21">
        <f>IF(B21&lt;='Lease Calculator'!$C$8, 'Lease Calculator'!$C$18, 0)</f>
        <v>0</v>
      </c>
      <c r="J21" s="21">
        <f>IF(B21&lt;='Lease Calculator'!$C$8, H21-I21, 0)</f>
        <v>0</v>
      </c>
      <c r="K21" s="21">
        <f>IF(B21&lt;'Lease Calculator'!$C$8, F22, G21)</f>
        <v>0</v>
      </c>
      <c r="L21" s="21">
        <f>IF(B21&lt;='Lease Calculator'!$C$8, G21-K21, 0)</f>
        <v>0</v>
      </c>
      <c r="M21" s="21">
        <f>IF(B21&lt;='Lease Calculator'!$C$8, E21+I21, 0)</f>
        <v>0</v>
      </c>
    </row>
    <row r="22" spans="2:13">
      <c r="B22" s="24">
        <v>17</v>
      </c>
      <c r="C22" s="21">
        <f>IF(B22&lt;='Lease Calculator'!$C$8, G21, 0)</f>
        <v>0</v>
      </c>
      <c r="D22" s="21">
        <f>IF(B22&lt;='Lease Calculator'!$C$8, 'Lease Calculator'!$C$9, 0)</f>
        <v>0</v>
      </c>
      <c r="E22" s="21">
        <f>IF(B22&lt;='Lease Calculator'!$C$8, C22*'Lease Calculator'!$C$10, 0)</f>
        <v>0</v>
      </c>
      <c r="F22" s="21">
        <f>IF(B22&lt;='Lease Calculator'!$C$8, D22-E22, 0)</f>
        <v>0</v>
      </c>
      <c r="G22" s="21">
        <f>IF(B22&lt;='Lease Calculator'!$C$8, C22-F22, 0)</f>
        <v>0</v>
      </c>
      <c r="H22" s="21">
        <f>IF(B22&lt;='Lease Calculator'!$C$8, J21, 0)</f>
        <v>0</v>
      </c>
      <c r="I22" s="21">
        <f>IF(B22&lt;='Lease Calculator'!$C$8, 'Lease Calculator'!$C$18, 0)</f>
        <v>0</v>
      </c>
      <c r="J22" s="21">
        <f>IF(B22&lt;='Lease Calculator'!$C$8, H22-I22, 0)</f>
        <v>0</v>
      </c>
      <c r="K22" s="21">
        <f>IF(B22&lt;'Lease Calculator'!$C$8, F23, G22)</f>
        <v>0</v>
      </c>
      <c r="L22" s="21">
        <f>IF(B22&lt;='Lease Calculator'!$C$8, G22-K22, 0)</f>
        <v>0</v>
      </c>
      <c r="M22" s="21">
        <f>IF(B22&lt;='Lease Calculator'!$C$8, E22+I22, 0)</f>
        <v>0</v>
      </c>
    </row>
    <row r="23" spans="2:13">
      <c r="B23" s="24">
        <v>18</v>
      </c>
      <c r="C23" s="21">
        <f>IF(B23&lt;='Lease Calculator'!$C$8, G22, 0)</f>
        <v>0</v>
      </c>
      <c r="D23" s="21">
        <f>IF(B23&lt;='Lease Calculator'!$C$8, 'Lease Calculator'!$C$9, 0)</f>
        <v>0</v>
      </c>
      <c r="E23" s="21">
        <f>IF(B23&lt;='Lease Calculator'!$C$8, C23*'Lease Calculator'!$C$10, 0)</f>
        <v>0</v>
      </c>
      <c r="F23" s="21">
        <f>IF(B23&lt;='Lease Calculator'!$C$8, D23-E23, 0)</f>
        <v>0</v>
      </c>
      <c r="G23" s="21">
        <f>IF(B23&lt;='Lease Calculator'!$C$8, C23-F23, 0)</f>
        <v>0</v>
      </c>
      <c r="H23" s="21">
        <f>IF(B23&lt;='Lease Calculator'!$C$8, J22, 0)</f>
        <v>0</v>
      </c>
      <c r="I23" s="21">
        <f>IF(B23&lt;='Lease Calculator'!$C$8, 'Lease Calculator'!$C$18, 0)</f>
        <v>0</v>
      </c>
      <c r="J23" s="21">
        <f>IF(B23&lt;='Lease Calculator'!$C$8, H23-I23, 0)</f>
        <v>0</v>
      </c>
      <c r="K23" s="21">
        <f>IF(B23&lt;'Lease Calculator'!$C$8, F24, G23)</f>
        <v>0</v>
      </c>
      <c r="L23" s="21">
        <f>IF(B23&lt;='Lease Calculator'!$C$8, G23-K23, 0)</f>
        <v>0</v>
      </c>
      <c r="M23" s="21">
        <f>IF(B23&lt;='Lease Calculator'!$C$8, E23+I23, 0)</f>
        <v>0</v>
      </c>
    </row>
    <row r="24" spans="2:13">
      <c r="B24" s="24">
        <v>19</v>
      </c>
      <c r="C24" s="21">
        <f>IF(B24&lt;='Lease Calculator'!$C$8, G23, 0)</f>
        <v>0</v>
      </c>
      <c r="D24" s="21">
        <f>IF(B24&lt;='Lease Calculator'!$C$8, 'Lease Calculator'!$C$9, 0)</f>
        <v>0</v>
      </c>
      <c r="E24" s="21">
        <f>IF(B24&lt;='Lease Calculator'!$C$8, C24*'Lease Calculator'!$C$10, 0)</f>
        <v>0</v>
      </c>
      <c r="F24" s="21">
        <f>IF(B24&lt;='Lease Calculator'!$C$8, D24-E24, 0)</f>
        <v>0</v>
      </c>
      <c r="G24" s="21">
        <f>IF(B24&lt;='Lease Calculator'!$C$8, C24-F24, 0)</f>
        <v>0</v>
      </c>
      <c r="H24" s="21">
        <f>IF(B24&lt;='Lease Calculator'!$C$8, J23, 0)</f>
        <v>0</v>
      </c>
      <c r="I24" s="21">
        <f>IF(B24&lt;='Lease Calculator'!$C$8, 'Lease Calculator'!$C$18, 0)</f>
        <v>0</v>
      </c>
      <c r="J24" s="21">
        <f>IF(B24&lt;='Lease Calculator'!$C$8, H24-I24, 0)</f>
        <v>0</v>
      </c>
      <c r="K24" s="21">
        <f>IF(B24&lt;'Lease Calculator'!$C$8, F25, G24)</f>
        <v>0</v>
      </c>
      <c r="L24" s="21">
        <f>IF(B24&lt;='Lease Calculator'!$C$8, G24-K24, 0)</f>
        <v>0</v>
      </c>
      <c r="M24" s="21">
        <f>IF(B24&lt;='Lease Calculator'!$C$8, E24+I24, 0)</f>
        <v>0</v>
      </c>
    </row>
    <row r="25" spans="2:13">
      <c r="B25" s="24">
        <v>20</v>
      </c>
      <c r="C25" s="21">
        <f>IF(B25&lt;='Lease Calculator'!$C$8, G24, 0)</f>
        <v>0</v>
      </c>
      <c r="D25" s="21">
        <f>IF(B25&lt;='Lease Calculator'!$C$8, 'Lease Calculator'!$C$9, 0)</f>
        <v>0</v>
      </c>
      <c r="E25" s="21">
        <f>IF(B25&lt;='Lease Calculator'!$C$8, C25*'Lease Calculator'!$C$10, 0)</f>
        <v>0</v>
      </c>
      <c r="F25" s="21">
        <f>IF(B25&lt;='Lease Calculator'!$C$8, D25-E25, 0)</f>
        <v>0</v>
      </c>
      <c r="G25" s="21">
        <f>IF(B25&lt;='Lease Calculator'!$C$8, C25-F25, 0)</f>
        <v>0</v>
      </c>
      <c r="H25" s="21">
        <f>IF(B25&lt;='Lease Calculator'!$C$8, J24, 0)</f>
        <v>0</v>
      </c>
      <c r="I25" s="21">
        <f>IF(B25&lt;='Lease Calculator'!$C$8, 'Lease Calculator'!$C$18, 0)</f>
        <v>0</v>
      </c>
      <c r="J25" s="21">
        <f>IF(B25&lt;='Lease Calculator'!$C$8, H25-I25, 0)</f>
        <v>0</v>
      </c>
      <c r="K25" s="21">
        <f>IF(B25&lt;'Lease Calculator'!$C$8, F26, G25)</f>
        <v>0</v>
      </c>
      <c r="L25" s="21">
        <f>IF(B25&lt;='Lease Calculator'!$C$8, G25-K25, 0)</f>
        <v>0</v>
      </c>
      <c r="M25" s="21">
        <f>IF(B25&lt;='Lease Calculator'!$C$8, E25+I25, 0)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2026-09-23T05:39:32Z</dcterms:created>
  <dcterms:modified xsi:type="dcterms:W3CDTF">2026-10-18T07:09:00Z</dcterms:modified>
  <cp:category/>
  <cp:contentStatus/>
</cp:coreProperties>
</file>