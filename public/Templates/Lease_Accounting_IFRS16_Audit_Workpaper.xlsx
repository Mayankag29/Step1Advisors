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kshtj\Documents\Step1 Advisors\"/>
    </mc:Choice>
  </mc:AlternateContent>
  <xr:revisionPtr revIDLastSave="0" documentId="8_{EDF06E81-6D4C-44FA-A906-8CFE86FEF1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 &amp; Memo" sheetId="1" r:id="rId1"/>
    <sheet name="Testing Grid" sheetId="2" r:id="rId2"/>
    <sheet name="Recalc Schedule" sheetId="3" r:id="rId3"/>
    <sheet name="Proposed AJ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/>
  <c r="E10" i="4"/>
  <c r="D59" i="3"/>
  <c r="I12" i="2" s="1"/>
  <c r="D47" i="3"/>
  <c r="I11" i="2" s="1"/>
  <c r="D35" i="3"/>
  <c r="D33" i="3"/>
  <c r="D32" i="3"/>
  <c r="D31" i="3"/>
  <c r="D30" i="3"/>
  <c r="D29" i="3"/>
  <c r="D28" i="3"/>
  <c r="D27" i="3"/>
  <c r="D26" i="3"/>
  <c r="D25" i="3"/>
  <c r="D24" i="3"/>
  <c r="C24" i="3"/>
  <c r="D19" i="3"/>
  <c r="D18" i="3"/>
  <c r="D17" i="3"/>
  <c r="D16" i="3"/>
  <c r="D15" i="3"/>
  <c r="D14" i="3"/>
  <c r="D13" i="3"/>
  <c r="D12" i="3"/>
  <c r="D11" i="3"/>
  <c r="D10" i="3"/>
  <c r="D9" i="3"/>
  <c r="C9" i="3"/>
  <c r="E9" i="3" s="1"/>
  <c r="I10" i="2"/>
  <c r="J10" i="2" s="1"/>
  <c r="G17" i="1" s="1"/>
  <c r="I9" i="2"/>
  <c r="J9" i="2" s="1"/>
  <c r="G16" i="1" s="1"/>
  <c r="E20" i="1"/>
  <c r="D20" i="1"/>
  <c r="C20" i="1"/>
  <c r="J11" i="2" l="1"/>
  <c r="G18" i="1" s="1"/>
  <c r="F18" i="1"/>
  <c r="F17" i="1"/>
  <c r="J12" i="2"/>
  <c r="G19" i="1" s="1"/>
  <c r="F19" i="1"/>
  <c r="F9" i="3"/>
  <c r="C10" i="3" s="1"/>
  <c r="E10" i="3" s="1"/>
  <c r="F10" i="3" s="1"/>
  <c r="C11" i="3" s="1"/>
  <c r="F16" i="1"/>
  <c r="F20" i="1" s="1"/>
  <c r="G20" i="1"/>
  <c r="E24" i="3"/>
  <c r="F24" i="3" s="1"/>
  <c r="C25" i="3" s="1"/>
  <c r="E25" i="3" l="1"/>
  <c r="F25" i="3" s="1"/>
  <c r="C26" i="3" s="1"/>
  <c r="E11" i="3"/>
  <c r="F11" i="3" s="1"/>
  <c r="C12" i="3" s="1"/>
  <c r="E12" i="3" l="1"/>
  <c r="F12" i="3" s="1"/>
  <c r="C13" i="3" s="1"/>
  <c r="E26" i="3"/>
  <c r="F26" i="3" s="1"/>
  <c r="C27" i="3" s="1"/>
  <c r="E27" i="3" l="1"/>
  <c r="F27" i="3" s="1"/>
  <c r="C28" i="3" s="1"/>
  <c r="E13" i="3"/>
  <c r="F13" i="3" s="1"/>
  <c r="C14" i="3" s="1"/>
  <c r="E14" i="3" l="1"/>
  <c r="F14" i="3" s="1"/>
  <c r="C15" i="3" s="1"/>
  <c r="E28" i="3"/>
  <c r="F28" i="3" s="1"/>
  <c r="C29" i="3" s="1"/>
  <c r="E29" i="3" l="1"/>
  <c r="F29" i="3" s="1"/>
  <c r="C30" i="3" s="1"/>
  <c r="E15" i="3"/>
  <c r="F15" i="3" s="1"/>
  <c r="C16" i="3" s="1"/>
  <c r="E16" i="3" l="1"/>
  <c r="F16" i="3" s="1"/>
  <c r="C17" i="3" s="1"/>
  <c r="E30" i="3"/>
  <c r="F30" i="3" s="1"/>
  <c r="C31" i="3" s="1"/>
  <c r="E31" i="3" l="1"/>
  <c r="F31" i="3" s="1"/>
  <c r="C32" i="3" s="1"/>
  <c r="E17" i="3"/>
  <c r="F17" i="3" s="1"/>
  <c r="C18" i="3" s="1"/>
  <c r="E18" i="3" l="1"/>
  <c r="F18" i="3" s="1"/>
  <c r="E32" i="3"/>
  <c r="F32" i="3" s="1"/>
  <c r="C33" i="3" s="1"/>
  <c r="E33" i="3" l="1"/>
  <c r="F33" i="3" s="1"/>
</calcChain>
</file>

<file path=xl/sharedStrings.xml><?xml version="1.0" encoding="utf-8"?>
<sst xmlns="http://schemas.openxmlformats.org/spreadsheetml/2006/main" count="131" uniqueCount="107">
  <si>
    <t>For reference only - Data does not pertain to specific client</t>
  </si>
  <si>
    <t>AUDIT WORKPAPER: IFRS 16 / ASC 842 LEASE ACCOUNTING REVIEW</t>
  </si>
  <si>
    <t>WP Reference: L-1.0 | Standard: IFRS 16 / ASC 842</t>
  </si>
  <si>
    <t>Client Name:</t>
  </si>
  <si>
    <t>Zenith Enterprise Solutions Ltd.</t>
  </si>
  <si>
    <t>Financial Year Ended:</t>
  </si>
  <si>
    <t>December 31, 2025</t>
  </si>
  <si>
    <t>Audit Area:</t>
  </si>
  <si>
    <t>Right-of-Use (ROU) Assets &amp; Lease Liabilities</t>
  </si>
  <si>
    <t>Prepared By (Senior Associate):</t>
  </si>
  <si>
    <t>David Chen, CPA - Date: Jan 14, 2026</t>
  </si>
  <si>
    <t>Reviewed By (Audit Manager):</t>
  </si>
  <si>
    <t>Sarah Jenkins, CA - Date: Jan 18, 2026</t>
  </si>
  <si>
    <t>Engagement Status:</t>
  </si>
  <si>
    <t>REVIEW COMPLETED - PROPOSED ADJUSTMENTS IDENTIFIED</t>
  </si>
  <si>
    <t>1. Executive Summary of Lease Portfolio Testing</t>
  </si>
  <si>
    <t>Lease Class / Portfolio</t>
  </si>
  <si>
    <t>Contract Count</t>
  </si>
  <si>
    <t>Client ROU Asset ($)</t>
  </si>
  <si>
    <t>Client Lease Liab ($)</t>
  </si>
  <si>
    <t>Audited Lease Liab ($)</t>
  </si>
  <si>
    <t>Variance / Deficit ($)</t>
  </si>
  <si>
    <t>Audit Status</t>
  </si>
  <si>
    <t>Real Estate - Corporate HQ</t>
  </si>
  <si>
    <t>PASSED</t>
  </si>
  <si>
    <t>Real Estate - Warehouses</t>
  </si>
  <si>
    <t>EXCEPTION - Understated</t>
  </si>
  <si>
    <t>IT Equipment &amp; Servers</t>
  </si>
  <si>
    <t>Fleet Vehicles</t>
  </si>
  <si>
    <t>TOTAL PORTFOLIO</t>
  </si>
  <si>
    <t>Adjustment Req.</t>
  </si>
  <si>
    <t>2. Key Audit Scope &amp; Findings Summary</t>
  </si>
  <si>
    <t>Completeness &amp; Population:</t>
  </si>
  <si>
    <t>Tested completeness by cross-referencing GL rent expense accounts against the master lease repository and physical site inspections.</t>
  </si>
  <si>
    <t>Incremental Borrowing Rate (IBR):</t>
  </si>
  <si>
    <t>Audited management's IBR assumptions against market yield curves, credit risk ratings, and lease duration. Identified an unadjusted IBR on Warehouse #3 (used 4.0% instead of audited 6.2%).</t>
  </si>
  <si>
    <t>Extension Option Assessment:</t>
  </si>
  <si>
    <t>Identified that management failed to include a 5-year reasonably certain extension option on Warehouse #3, leading to an understatement of Lease Liability by $845,000.</t>
  </si>
  <si>
    <t>Audit Action Proposed:</t>
  </si>
  <si>
    <t>Drafted AJE #1 to record additional ROU Asset and Lease Liability for $845,000 to correct understatement under IFRS 16.</t>
  </si>
  <si>
    <t>LEASE POPULATION SAMPLE &amp; AUDIT RECALCULATION GRID</t>
  </si>
  <si>
    <t>WP Reference: L-1.1</t>
  </si>
  <si>
    <t>Lease Ref ID</t>
  </si>
  <si>
    <t>Lease Description</t>
  </si>
  <si>
    <t>Term (Yrs)</t>
  </si>
  <si>
    <t>Annual PMT ($)</t>
  </si>
  <si>
    <t>Mgt IBR (%)</t>
  </si>
  <si>
    <t>Audited IBR (%)</t>
  </si>
  <si>
    <t>Mgt Lease Liab ($)</t>
  </si>
  <si>
    <t>Variance ($)</t>
  </si>
  <si>
    <t>Associate Testing Conclusion</t>
  </si>
  <si>
    <t>Manager Review Notes &amp; Coaching</t>
  </si>
  <si>
    <t>Status</t>
  </si>
  <si>
    <t>LSE-001</t>
  </si>
  <si>
    <t>Corporate HQ Building</t>
  </si>
  <si>
    <t>Verified term and escalation clauses. IBR matches debt rating.</t>
  </si>
  <si>
    <t>Clean. PV recalculation aligns within acceptable tolerance.</t>
  </si>
  <si>
    <t>Closed / Passed</t>
  </si>
  <si>
    <t>LSE-002</t>
  </si>
  <si>
    <t>Warehouse #3 Operations</t>
  </si>
  <si>
    <t>Client excluded 5-yr extension option that is reasonably certain.</t>
  </si>
  <si>
    <t>Understated by $845k due to IBR mismatch and omitted option term.</t>
  </si>
  <si>
    <t>AJE #1 Proposed</t>
  </si>
  <si>
    <t>LSE-003</t>
  </si>
  <si>
    <t>IT Data Center Servers</t>
  </si>
  <si>
    <t>Vouched vendor contract. Low value IT exception threshold applied.</t>
  </si>
  <si>
    <t>Clean. Short-term exemptions properly applied where relevant.</t>
  </si>
  <si>
    <t>LSE-004</t>
  </si>
  <si>
    <t>Logistics Fleet Vehicles</t>
  </si>
  <si>
    <t>Sample of 5 vehicle contracts vouched. Rates verified.</t>
  </si>
  <si>
    <t>Clean. Portfolio approach applied appropriately.</t>
  </si>
  <si>
    <t>INDEPENDENT LEASE LIABILITY &amp; AMORTIZATION RECALCULATION</t>
  </si>
  <si>
    <t>WP Reference: L-1.2 | Automated Excel PV Schedules</t>
  </si>
  <si>
    <t>LSE-001: Corporate HQ Building Amortization Schedule</t>
  </si>
  <si>
    <t>Year / Period</t>
  </si>
  <si>
    <t>Beginning Liability ($)</t>
  </si>
  <si>
    <t>Payment ($)</t>
  </si>
  <si>
    <t>Interest Expense ($)</t>
  </si>
  <si>
    <t>Ending Liability ($)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</si>
  <si>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</si>
  <si>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</si>
  <si>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</si>
  <si>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</si>
  <si>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</si>
  <si>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</si>
  <si>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</si>
  <si>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</si>
  <si>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</si>
  <si>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</si>
  <si>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Audited Initial Present Value (PV):</t>
  </si>
  <si>
    <t>LSE-002: Warehouse #3 Re-calculated Amortization (Corrected Term &amp; IBR)</t>
  </si>
  <si>
    <t>Audited Corrected Present Value (PV):</t>
  </si>
  <si>
    <t>PROPOSED AUDIT ADJUSTING JOURNAL ENTRIES (IFRS 16 / ASC 842)</t>
  </si>
  <si>
    <t>WP Reference: L-1.3</t>
  </si>
  <si>
    <t>AJE #</t>
  </si>
  <si>
    <t>Account Description</t>
  </si>
  <si>
    <t>GL Account #</t>
  </si>
  <si>
    <t>Debit ($)</t>
  </si>
  <si>
    <t>Credit ($)</t>
  </si>
  <si>
    <t>AJE #1</t>
  </si>
  <si>
    <t>Balance Sheet: Right-of-Use Asset - Warehouses</t>
  </si>
  <si>
    <t>1720-00</t>
  </si>
  <si>
    <t xml:space="preserve">  Balance Sheet: Lease Liability - Warehouses</t>
  </si>
  <si>
    <t>2410-00</t>
  </si>
  <si>
    <t>TOTAL AJE #1</t>
  </si>
  <si>
    <t>AJE Technical Explanation:</t>
  </si>
  <si>
    <t>To record additional Right-of-Use Asset and corresponding Lease Liability for Warehouse #3 (LSE-002) following audit discovery of an omitted 5-year extension option that is reasonably certain to be exercised, and application of the audited Incremental Borrowing Rate (6.2%).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</si>
</sst>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"/>
    <numFmt numFmtId="166" formatCode="0.0%"/>
  </numFmts>
  <fonts count="10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C00000"/>
      <name val="Calibri"/>
      <family val="2"/>
    </font>
    <font>
      <b/>
      <sz val="12"/>
      <color rgb="FF1F4E79"/>
      <name val="Calibri"/>
      <family val="2"/>
    </font>
    <font>
      <b/>
      <sz val="10"/>
      <color rgb="FFFFFFFF"/>
      <name val="Calibri"/>
      <family val="2"/>
    </font>
    <font>
      <b/>
      <sz val="10"/>
      <color rgb="FF276A3C"/>
      <name val="Calibri"/>
      <family val="2"/>
    </font>
    <font>
      <b/>
      <sz val="2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2DCDB"/>
        <bgColor rgb="FFF2DCDB"/>
      </patternFill>
    </fill>
    <fill>
      <patternFill patternType="solid">
        <fgColor rgb="FFFCE4D6"/>
        <b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165" fontId="3" fillId="0" borderId="2" xfId="0" applyNumberFormat="1" applyFont="1" applyBorder="1"/>
    <xf numFmtId="164" fontId="3" fillId="0" borderId="2" xfId="0" applyNumberFormat="1" applyFont="1" applyBorder="1"/>
    <xf numFmtId="0" fontId="7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6" fontId="0" fillId="0" borderId="1" xfId="0" applyNumberFormat="1" applyBorder="1"/>
    <xf numFmtId="164" fontId="8" fillId="4" borderId="1" xfId="0" applyNumberFormat="1" applyFont="1" applyFill="1" applyBorder="1"/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3" fillId="0" borderId="1" xfId="0" applyFont="1" applyBorder="1" applyAlignment="1">
      <alignment horizontal="center"/>
    </xf>
    <xf numFmtId="164" fontId="5" fillId="6" borderId="1" xfId="0" applyNumberFormat="1" applyFont="1" applyFill="1" applyBorder="1"/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3" fillId="0" borderId="0" xfId="0" applyNumberFormat="1" applyFont="1"/>
    <xf numFmtId="0" fontId="7" fillId="3" borderId="0" xfId="0" applyFont="1" applyFill="1" applyAlignment="1">
      <alignment horizontal="center"/>
    </xf>
    <xf numFmtId="165" fontId="5" fillId="0" borderId="0" xfId="0" applyNumberFormat="1" applyFont="1"/>
    <xf numFmtId="0" fontId="3" fillId="0" borderId="1" xfId="0" applyFont="1" applyBorder="1"/>
    <xf numFmtId="0" fontId="9" fillId="0" borderId="0" xfId="0" applyFont="1"/>
    <xf numFmtId="0" fontId="4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9"/>
  <sheetViews>
    <sheetView showGridLines="0" tabSelected="1" workbookViewId="0">
      <selection activeCell="E11" sqref="E11"/>
    </sheetView>
  </sheetViews>
  <sheetFormatPr defaultRowHeight="14.45"/>
  <cols>
    <col min="1" max="1" width="12" customWidth="1"/>
    <col min="2" max="3" width="42" customWidth="1"/>
    <col min="4" max="4" width="23" customWidth="1"/>
    <col min="5" max="5" width="24" customWidth="1"/>
    <col min="6" max="7" width="25" customWidth="1"/>
    <col min="8" max="8" width="26" customWidth="1"/>
  </cols>
  <sheetData>
    <row r="1" spans="2:8" ht="26.1">
      <c r="B1" s="34" t="s">
        <v>0</v>
      </c>
    </row>
    <row r="4" spans="2:8" ht="21">
      <c r="B4" s="1" t="s">
        <v>1</v>
      </c>
    </row>
    <row r="5" spans="2:8">
      <c r="B5" s="2" t="s">
        <v>2</v>
      </c>
    </row>
    <row r="7" spans="2:8">
      <c r="B7" s="3" t="s">
        <v>3</v>
      </c>
      <c r="C7" s="4" t="s">
        <v>4</v>
      </c>
    </row>
    <row r="8" spans="2:8">
      <c r="B8" s="3" t="s">
        <v>5</v>
      </c>
      <c r="C8" s="4" t="s">
        <v>6</v>
      </c>
    </row>
    <row r="9" spans="2:8">
      <c r="B9" s="3" t="s">
        <v>7</v>
      </c>
      <c r="C9" s="4" t="s">
        <v>8</v>
      </c>
    </row>
    <row r="10" spans="2:8">
      <c r="B10" s="3" t="s">
        <v>9</v>
      </c>
      <c r="C10" s="4" t="s">
        <v>10</v>
      </c>
    </row>
    <row r="11" spans="2:8">
      <c r="B11" s="3" t="s">
        <v>11</v>
      </c>
      <c r="C11" s="4" t="s">
        <v>12</v>
      </c>
    </row>
    <row r="12" spans="2:8">
      <c r="B12" s="3" t="s">
        <v>13</v>
      </c>
      <c r="C12" s="5" t="s">
        <v>14</v>
      </c>
    </row>
    <row r="14" spans="2:8" ht="15.6">
      <c r="B14" s="6" t="s">
        <v>15</v>
      </c>
    </row>
    <row r="15" spans="2:8">
      <c r="B15" s="7" t="s">
        <v>16</v>
      </c>
      <c r="C15" s="7" t="s">
        <v>17</v>
      </c>
      <c r="D15" s="7" t="s">
        <v>18</v>
      </c>
      <c r="E15" s="7" t="s">
        <v>19</v>
      </c>
      <c r="F15" s="7" t="s">
        <v>20</v>
      </c>
      <c r="G15" s="7" t="s">
        <v>21</v>
      </c>
      <c r="H15" s="7" t="s">
        <v>22</v>
      </c>
    </row>
    <row r="16" spans="2:8">
      <c r="B16" s="8" t="s">
        <v>23</v>
      </c>
      <c r="C16" s="9">
        <v>1</v>
      </c>
      <c r="D16" s="10">
        <v>12500000</v>
      </c>
      <c r="E16" s="10">
        <v>12850000</v>
      </c>
      <c r="F16" s="10">
        <f>'Testing Grid'!I9</f>
        <v>12740862.633154942</v>
      </c>
      <c r="G16" s="10">
        <f>'Testing Grid'!J9</f>
        <v>-109137.36684505828</v>
      </c>
      <c r="H16" s="11" t="s">
        <v>24</v>
      </c>
    </row>
    <row r="17" spans="2:8">
      <c r="B17" s="8" t="s">
        <v>25</v>
      </c>
      <c r="C17" s="9">
        <v>4</v>
      </c>
      <c r="D17" s="10">
        <v>6200000</v>
      </c>
      <c r="E17" s="10">
        <v>6100000</v>
      </c>
      <c r="F17" s="10">
        <f>'Testing Grid'!I10</f>
        <v>10207184.59094396</v>
      </c>
      <c r="G17" s="10">
        <f>'Testing Grid'!J10</f>
        <v>4107184.5909439605</v>
      </c>
      <c r="H17" s="12" t="s">
        <v>26</v>
      </c>
    </row>
    <row r="18" spans="2:8">
      <c r="B18" s="8" t="s">
        <v>27</v>
      </c>
      <c r="C18" s="9">
        <v>12</v>
      </c>
      <c r="D18" s="10">
        <v>1850000</v>
      </c>
      <c r="E18" s="10">
        <v>1850000</v>
      </c>
      <c r="F18" s="10">
        <f>'Testing Grid'!I11</f>
        <v>1869295.7609480368</v>
      </c>
      <c r="G18" s="10">
        <f>'Testing Grid'!J11</f>
        <v>19295.760948036797</v>
      </c>
      <c r="H18" s="11" t="s">
        <v>24</v>
      </c>
    </row>
    <row r="19" spans="2:8">
      <c r="B19" s="8" t="s">
        <v>28</v>
      </c>
      <c r="C19" s="9">
        <v>25</v>
      </c>
      <c r="D19" s="10">
        <v>940000</v>
      </c>
      <c r="E19" s="10">
        <v>940000</v>
      </c>
      <c r="F19" s="10">
        <f>'Testing Grid'!I12</f>
        <v>917679.99627567548</v>
      </c>
      <c r="G19" s="10">
        <f>'Testing Grid'!J12</f>
        <v>-22320.003724324517</v>
      </c>
      <c r="H19" s="11" t="s">
        <v>24</v>
      </c>
    </row>
    <row r="20" spans="2:8">
      <c r="B20" s="13" t="s">
        <v>29</v>
      </c>
      <c r="C20" s="14">
        <f>SUM(C16:C19)</f>
        <v>42</v>
      </c>
      <c r="D20" s="15">
        <f>SUM(D16:D19)</f>
        <v>21490000</v>
      </c>
      <c r="E20" s="15">
        <f>SUM(E16:E19)</f>
        <v>21740000</v>
      </c>
      <c r="F20" s="15">
        <f>SUM(F16:F19)</f>
        <v>25735022.981322613</v>
      </c>
      <c r="G20" s="16">
        <f>SUM(G16:G19)</f>
        <v>3995022.9813226145</v>
      </c>
      <c r="H20" s="13" t="s">
        <v>30</v>
      </c>
    </row>
    <row r="22" spans="2:8" ht="15.6">
      <c r="B22" s="6" t="s">
        <v>31</v>
      </c>
    </row>
    <row r="23" spans="2:8">
      <c r="B23" s="3" t="s">
        <v>32</v>
      </c>
      <c r="C23" s="35" t="s">
        <v>33</v>
      </c>
      <c r="D23" s="36"/>
      <c r="E23" s="36"/>
      <c r="F23" s="36"/>
      <c r="G23" s="36"/>
      <c r="H23" s="36"/>
    </row>
    <row r="25" spans="2:8">
      <c r="B25" s="3" t="s">
        <v>34</v>
      </c>
      <c r="C25" s="35" t="s">
        <v>35</v>
      </c>
      <c r="D25" s="36"/>
      <c r="E25" s="36"/>
      <c r="F25" s="36"/>
      <c r="G25" s="36"/>
      <c r="H25" s="36"/>
    </row>
    <row r="27" spans="2:8">
      <c r="B27" s="3" t="s">
        <v>36</v>
      </c>
      <c r="C27" s="35" t="s">
        <v>37</v>
      </c>
      <c r="D27" s="36"/>
      <c r="E27" s="36"/>
      <c r="F27" s="36"/>
      <c r="G27" s="36"/>
      <c r="H27" s="36"/>
    </row>
    <row r="29" spans="2:8">
      <c r="B29" s="3" t="s">
        <v>38</v>
      </c>
      <c r="C29" s="35" t="s">
        <v>39</v>
      </c>
      <c r="D29" s="36"/>
      <c r="E29" s="36"/>
      <c r="F29" s="36"/>
      <c r="G29" s="36"/>
      <c r="H29" s="36"/>
    </row>
  </sheetData>
  <mergeCells count="4">
    <mergeCell ref="C25:H25"/>
    <mergeCell ref="C27:H27"/>
    <mergeCell ref="C29:H29"/>
    <mergeCell ref="C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2"/>
  <sheetViews>
    <sheetView showGridLines="0" workbookViewId="0"/>
  </sheetViews>
  <sheetFormatPr defaultRowHeight="14.45"/>
  <cols>
    <col min="1" max="1" width="12" customWidth="1"/>
    <col min="2" max="2" width="42" customWidth="1"/>
    <col min="3" max="3" width="27" customWidth="1"/>
    <col min="4" max="4" width="13" customWidth="1"/>
    <col min="5" max="5" width="17" customWidth="1"/>
    <col min="6" max="6" width="14" customWidth="1"/>
    <col min="7" max="7" width="18" customWidth="1"/>
    <col min="8" max="8" width="21" customWidth="1"/>
    <col min="9" max="9" width="25" customWidth="1"/>
    <col min="10" max="10" width="15" customWidth="1"/>
    <col min="11" max="12" width="35" customWidth="1"/>
    <col min="13" max="13" width="18" customWidth="1"/>
  </cols>
  <sheetData>
    <row r="1" spans="2:13" ht="26.1">
      <c r="B1" s="34" t="s">
        <v>0</v>
      </c>
    </row>
    <row r="5" spans="2:13" ht="21">
      <c r="B5" s="1" t="s">
        <v>40</v>
      </c>
    </row>
    <row r="6" spans="2:13">
      <c r="B6" s="2" t="s">
        <v>41</v>
      </c>
    </row>
    <row r="8" spans="2:13">
      <c r="B8" s="17" t="s">
        <v>42</v>
      </c>
      <c r="C8" s="17" t="s">
        <v>43</v>
      </c>
      <c r="D8" s="17" t="s">
        <v>44</v>
      </c>
      <c r="E8" s="17" t="s">
        <v>45</v>
      </c>
      <c r="F8" s="17" t="s">
        <v>46</v>
      </c>
      <c r="G8" s="18" t="s">
        <v>47</v>
      </c>
      <c r="H8" s="17" t="s">
        <v>48</v>
      </c>
      <c r="I8" s="18" t="s">
        <v>20</v>
      </c>
      <c r="J8" s="18" t="s">
        <v>49</v>
      </c>
      <c r="K8" s="17" t="s">
        <v>50</v>
      </c>
      <c r="L8" s="17" t="s">
        <v>51</v>
      </c>
      <c r="M8" s="17" t="s">
        <v>52</v>
      </c>
    </row>
    <row r="9" spans="2:13" ht="29.1">
      <c r="B9" s="19" t="s">
        <v>53</v>
      </c>
      <c r="C9" s="20" t="s">
        <v>54</v>
      </c>
      <c r="D9" s="19">
        <v>10</v>
      </c>
      <c r="E9" s="21">
        <v>1650000</v>
      </c>
      <c r="F9" s="22">
        <v>0.05</v>
      </c>
      <c r="G9" s="22">
        <v>0.05</v>
      </c>
      <c r="H9" s="21">
        <v>12850000</v>
      </c>
      <c r="I9" s="21">
        <f>'Recalc Schedule'!D19</f>
        <v>12740862.633154942</v>
      </c>
      <c r="J9" s="23">
        <f>I9-H9</f>
        <v>-109137.36684505828</v>
      </c>
      <c r="K9" s="24" t="s">
        <v>55</v>
      </c>
      <c r="L9" s="25" t="s">
        <v>56</v>
      </c>
      <c r="M9" s="26" t="s">
        <v>57</v>
      </c>
    </row>
    <row r="10" spans="2:13" ht="29.1">
      <c r="B10" s="19" t="s">
        <v>58</v>
      </c>
      <c r="C10" s="20" t="s">
        <v>59</v>
      </c>
      <c r="D10" s="19">
        <v>5</v>
      </c>
      <c r="E10" s="21">
        <v>1400000</v>
      </c>
      <c r="F10" s="22">
        <v>0.04</v>
      </c>
      <c r="G10" s="22">
        <v>6.2E-2</v>
      </c>
      <c r="H10" s="21">
        <v>6100000</v>
      </c>
      <c r="I10" s="21">
        <f>'Recalc Schedule'!D35</f>
        <v>10207184.59094396</v>
      </c>
      <c r="J10" s="27">
        <f>I10-H10</f>
        <v>4107184.5909439605</v>
      </c>
      <c r="K10" s="24" t="s">
        <v>60</v>
      </c>
      <c r="L10" s="25" t="s">
        <v>61</v>
      </c>
      <c r="M10" s="26" t="s">
        <v>62</v>
      </c>
    </row>
    <row r="11" spans="2:13" ht="29.1">
      <c r="B11" s="19" t="s">
        <v>63</v>
      </c>
      <c r="C11" s="20" t="s">
        <v>64</v>
      </c>
      <c r="D11" s="19">
        <v>3</v>
      </c>
      <c r="E11" s="21">
        <v>680000</v>
      </c>
      <c r="F11" s="22">
        <v>4.4999999999999998E-2</v>
      </c>
      <c r="G11" s="22">
        <v>4.4999999999999998E-2</v>
      </c>
      <c r="H11" s="21">
        <v>1850000</v>
      </c>
      <c r="I11" s="21">
        <f>'Recalc Schedule'!D47</f>
        <v>1869295.7609480368</v>
      </c>
      <c r="J11" s="23">
        <f>I11-H11</f>
        <v>19295.760948036797</v>
      </c>
      <c r="K11" s="24" t="s">
        <v>65</v>
      </c>
      <c r="L11" s="25" t="s">
        <v>66</v>
      </c>
      <c r="M11" s="26" t="s">
        <v>57</v>
      </c>
    </row>
    <row r="12" spans="2:13" ht="29.1">
      <c r="B12" s="19" t="s">
        <v>67</v>
      </c>
      <c r="C12" s="20" t="s">
        <v>68</v>
      </c>
      <c r="D12" s="19">
        <v>4</v>
      </c>
      <c r="E12" s="21">
        <v>260000</v>
      </c>
      <c r="F12" s="22">
        <v>5.1999999999999998E-2</v>
      </c>
      <c r="G12" s="22">
        <v>5.1999999999999998E-2</v>
      </c>
      <c r="H12" s="21">
        <v>940000</v>
      </c>
      <c r="I12" s="21">
        <f>'Recalc Schedule'!D59</f>
        <v>917679.99627567548</v>
      </c>
      <c r="J12" s="23">
        <f>I12-H12</f>
        <v>-22320.003724324517</v>
      </c>
      <c r="K12" s="24" t="s">
        <v>69</v>
      </c>
      <c r="L12" s="25" t="s">
        <v>70</v>
      </c>
      <c r="M12" s="26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59"/>
  <sheetViews>
    <sheetView showGridLines="0" workbookViewId="0"/>
  </sheetViews>
  <sheetFormatPr defaultRowHeight="14.45"/>
  <cols>
    <col min="1" max="1" width="12" customWidth="1"/>
    <col min="2" max="2" width="42" customWidth="1"/>
    <col min="3" max="3" width="26" customWidth="1"/>
    <col min="4" max="4" width="42" customWidth="1"/>
    <col min="5" max="5" width="25" customWidth="1"/>
    <col min="6" max="6" width="23" customWidth="1"/>
  </cols>
  <sheetData>
    <row r="1" spans="2:6" ht="26.1">
      <c r="B1" s="34" t="s">
        <v>0</v>
      </c>
    </row>
    <row r="4" spans="2:6" ht="21">
      <c r="B4" s="1" t="s">
        <v>71</v>
      </c>
    </row>
    <row r="5" spans="2:6">
      <c r="B5" s="2" t="s">
        <v>72</v>
      </c>
    </row>
    <row r="7" spans="2:6" ht="15.6">
      <c r="B7" s="6" t="s">
        <v>73</v>
      </c>
    </row>
    <row r="8" spans="2:6">
      <c r="B8" s="28" t="s">
        <v>74</v>
      </c>
      <c r="C8" s="28" t="s">
        <v>75</v>
      </c>
      <c r="D8" s="28" t="s">
        <v>76</v>
      </c>
      <c r="E8" s="28" t="s">
        <v>77</v>
      </c>
      <c r="F8" s="28" t="s">
        <v>78</v>
      </c>
    </row>
    <row r="9" spans="2:6">
      <c r="B9" s="29" t="s">
        <v>79</v>
      </c>
      <c r="C9" s="21">
        <f>D19</f>
        <v>12740862.633154942</v>
      </c>
      <c r="D9" s="21">
        <f>'Testing Grid'!E9</f>
        <v>1650000</v>
      </c>
      <c r="E9" s="21">
        <f>C9*'Testing Grid'!G9</f>
        <v>637043.13165774709</v>
      </c>
      <c r="F9" s="21">
        <f t="shared" ref="F9:F18" si="0">C9-D9+E9</f>
        <v>11727905.764812689</v>
      </c>
    </row>
    <row r="10" spans="2:6">
      <c r="B10" s="29" t="s">
        <v>80</v>
      </c>
      <c r="C10" s="21">
        <f t="shared" ref="C10:C18" si="1">F9</f>
        <v>11727905.764812689</v>
      </c>
      <c r="D10" s="21">
        <f>'Testing Grid'!E9</f>
        <v>1650000</v>
      </c>
      <c r="E10" s="21">
        <f>C10*'Testing Grid'!G9</f>
        <v>586395.28824063449</v>
      </c>
      <c r="F10" s="21">
        <f t="shared" si="0"/>
        <v>10664301.053053323</v>
      </c>
    </row>
    <row r="11" spans="2:6">
      <c r="B11" s="29" t="s">
        <v>81</v>
      </c>
      <c r="C11" s="21">
        <f t="shared" si="1"/>
        <v>10664301.053053323</v>
      </c>
      <c r="D11" s="21">
        <f>'Testing Grid'!E9</f>
        <v>1650000</v>
      </c>
      <c r="E11" s="21">
        <f>C11*'Testing Grid'!G9</f>
        <v>533215.05265266623</v>
      </c>
      <c r="F11" s="21">
        <f t="shared" si="0"/>
        <v>9547516.1057059895</v>
      </c>
    </row>
    <row r="12" spans="2:6">
      <c r="B12" s="29" t="s">
        <v>82</v>
      </c>
      <c r="C12" s="21">
        <f t="shared" si="1"/>
        <v>9547516.1057059895</v>
      </c>
      <c r="D12" s="21">
        <f>'Testing Grid'!E9</f>
        <v>1650000</v>
      </c>
      <c r="E12" s="21">
        <f>C12*'Testing Grid'!G9</f>
        <v>477375.80528529949</v>
      </c>
      <c r="F12" s="21">
        <f t="shared" si="0"/>
        <v>8374891.9109912887</v>
      </c>
    </row>
    <row r="13" spans="2:6">
      <c r="B13" s="29" t="s">
        <v>83</v>
      </c>
      <c r="C13" s="21">
        <f t="shared" si="1"/>
        <v>8374891.9109912887</v>
      </c>
      <c r="D13" s="21">
        <f>'Testing Grid'!E9</f>
        <v>1650000</v>
      </c>
      <c r="E13" s="21">
        <f>C13*'Testing Grid'!G9</f>
        <v>418744.59554956446</v>
      </c>
      <c r="F13" s="21">
        <f t="shared" si="0"/>
        <v>7143636.5065408535</v>
      </c>
    </row>
    <row r="14" spans="2:6">
      <c r="B14" s="29" t="s">
        <v>84</v>
      </c>
      <c r="C14" s="21">
        <f t="shared" si="1"/>
        <v>7143636.5065408535</v>
      </c>
      <c r="D14" s="21">
        <f>'Testing Grid'!E9</f>
        <v>1650000</v>
      </c>
      <c r="E14" s="21">
        <f>C14*'Testing Grid'!G9</f>
        <v>357181.82532704272</v>
      </c>
      <c r="F14" s="21">
        <f t="shared" si="0"/>
        <v>5850818.331867896</v>
      </c>
    </row>
    <row r="15" spans="2:6">
      <c r="B15" s="29" t="s">
        <v>85</v>
      </c>
      <c r="C15" s="21">
        <f t="shared" si="1"/>
        <v>5850818.331867896</v>
      </c>
      <c r="D15" s="21">
        <f>'Testing Grid'!E9</f>
        <v>1650000</v>
      </c>
      <c r="E15" s="21">
        <f>C15*'Testing Grid'!G9</f>
        <v>292540.91659339482</v>
      </c>
      <c r="F15" s="21">
        <f t="shared" si="0"/>
        <v>4493359.2484612912</v>
      </c>
    </row>
    <row r="16" spans="2:6">
      <c r="B16" s="29" t="s">
        <v>86</v>
      </c>
      <c r="C16" s="21">
        <f t="shared" si="1"/>
        <v>4493359.2484612912</v>
      </c>
      <c r="D16" s="21">
        <f>'Testing Grid'!E9</f>
        <v>1650000</v>
      </c>
      <c r="E16" s="21">
        <f>C16*'Testing Grid'!G9</f>
        <v>224667.96242306457</v>
      </c>
      <c r="F16" s="21">
        <f t="shared" si="0"/>
        <v>3068027.2108843559</v>
      </c>
    </row>
    <row r="17" spans="2:6">
      <c r="B17" s="29" t="s">
        <v>87</v>
      </c>
      <c r="C17" s="21">
        <f t="shared" si="1"/>
        <v>3068027.2108843559</v>
      </c>
      <c r="D17" s="21">
        <f>'Testing Grid'!E9</f>
        <v>1650000</v>
      </c>
      <c r="E17" s="21">
        <f>C17*'Testing Grid'!G9</f>
        <v>153401.36054421781</v>
      </c>
      <c r="F17" s="21">
        <f t="shared" si="0"/>
        <v>1571428.5714285737</v>
      </c>
    </row>
    <row r="18" spans="2:6">
      <c r="B18" s="29" t="s">
        <v>88</v>
      </c>
      <c r="C18" s="21">
        <f t="shared" si="1"/>
        <v>1571428.5714285737</v>
      </c>
      <c r="D18" s="21">
        <f>'Testing Grid'!E9</f>
        <v>1650000</v>
      </c>
      <c r="E18" s="21">
        <f>C18*'Testing Grid'!G9</f>
        <v>78571.428571428682</v>
      </c>
      <c r="F18" s="21">
        <f t="shared" si="0"/>
        <v>2.3719621822237968E-9</v>
      </c>
    </row>
    <row r="19" spans="2:6">
      <c r="B19" s="3" t="s">
        <v>89</v>
      </c>
      <c r="D19" s="30">
        <f>PV('Testing Grid'!G9, 'Testing Grid'!D9, -'Testing Grid'!E9)</f>
        <v>12740862.633154942</v>
      </c>
    </row>
    <row r="22" spans="2:6" ht="15.6">
      <c r="B22" s="6" t="s">
        <v>90</v>
      </c>
    </row>
    <row r="23" spans="2:6">
      <c r="B23" s="31" t="s">
        <v>74</v>
      </c>
      <c r="C23" s="31" t="s">
        <v>75</v>
      </c>
      <c r="D23" s="31" t="s">
        <v>76</v>
      </c>
      <c r="E23" s="31" t="s">
        <v>77</v>
      </c>
      <c r="F23" s="31" t="s">
        <v>78</v>
      </c>
    </row>
    <row r="24" spans="2:6">
      <c r="B24" s="29" t="s">
        <v>79</v>
      </c>
      <c r="C24" s="21">
        <f>D35</f>
        <v>10207184.59094396</v>
      </c>
      <c r="D24" s="21">
        <f>'Testing Grid'!E10</f>
        <v>1400000</v>
      </c>
      <c r="E24" s="21">
        <f>C24*'Testing Grid'!G10</f>
        <v>632845.4446385256</v>
      </c>
      <c r="F24" s="21">
        <f t="shared" ref="F24:F33" si="2">C24-D24+E24</f>
        <v>9440030.0355824865</v>
      </c>
    </row>
    <row r="25" spans="2:6">
      <c r="B25" s="29" t="s">
        <v>80</v>
      </c>
      <c r="C25" s="21">
        <f t="shared" ref="C25:C33" si="3">F24</f>
        <v>9440030.0355824865</v>
      </c>
      <c r="D25" s="21">
        <f>'Testing Grid'!E10</f>
        <v>1400000</v>
      </c>
      <c r="E25" s="21">
        <f>C25*'Testing Grid'!G10</f>
        <v>585281.86220611411</v>
      </c>
      <c r="F25" s="21">
        <f t="shared" si="2"/>
        <v>8625311.897788601</v>
      </c>
    </row>
    <row r="26" spans="2:6">
      <c r="B26" s="29" t="s">
        <v>81</v>
      </c>
      <c r="C26" s="21">
        <f t="shared" si="3"/>
        <v>8625311.897788601</v>
      </c>
      <c r="D26" s="21">
        <f>'Testing Grid'!E10</f>
        <v>1400000</v>
      </c>
      <c r="E26" s="21">
        <f>C26*'Testing Grid'!G10</f>
        <v>534769.33766289323</v>
      </c>
      <c r="F26" s="21">
        <f t="shared" si="2"/>
        <v>7760081.2354514943</v>
      </c>
    </row>
    <row r="27" spans="2:6">
      <c r="B27" s="29" t="s">
        <v>82</v>
      </c>
      <c r="C27" s="21">
        <f t="shared" si="3"/>
        <v>7760081.2354514943</v>
      </c>
      <c r="D27" s="21">
        <f>'Testing Grid'!E10</f>
        <v>1400000</v>
      </c>
      <c r="E27" s="21">
        <f>C27*'Testing Grid'!G10</f>
        <v>481125.03659799264</v>
      </c>
      <c r="F27" s="21">
        <f t="shared" si="2"/>
        <v>6841206.2720494866</v>
      </c>
    </row>
    <row r="28" spans="2:6">
      <c r="B28" s="29" t="s">
        <v>83</v>
      </c>
      <c r="C28" s="21">
        <f t="shared" si="3"/>
        <v>6841206.2720494866</v>
      </c>
      <c r="D28" s="21">
        <f>'Testing Grid'!E10</f>
        <v>1400000</v>
      </c>
      <c r="E28" s="21">
        <f>C28*'Testing Grid'!G10</f>
        <v>424154.78886706819</v>
      </c>
      <c r="F28" s="21">
        <f t="shared" si="2"/>
        <v>5865361.0609165551</v>
      </c>
    </row>
    <row r="29" spans="2:6">
      <c r="B29" s="29" t="s">
        <v>84</v>
      </c>
      <c r="C29" s="21">
        <f t="shared" si="3"/>
        <v>5865361.0609165551</v>
      </c>
      <c r="D29" s="21">
        <f>'Testing Grid'!E10</f>
        <v>1400000</v>
      </c>
      <c r="E29" s="21">
        <f>C29*'Testing Grid'!G10</f>
        <v>363652.38577682641</v>
      </c>
      <c r="F29" s="21">
        <f t="shared" si="2"/>
        <v>4829013.4466933813</v>
      </c>
    </row>
    <row r="30" spans="2:6">
      <c r="B30" s="29" t="s">
        <v>85</v>
      </c>
      <c r="C30" s="21">
        <f t="shared" si="3"/>
        <v>4829013.4466933813</v>
      </c>
      <c r="D30" s="21">
        <f>'Testing Grid'!E10</f>
        <v>1400000</v>
      </c>
      <c r="E30" s="21">
        <f>C30*'Testing Grid'!G10</f>
        <v>299398.83369498962</v>
      </c>
      <c r="F30" s="21">
        <f t="shared" si="2"/>
        <v>3728412.2803883711</v>
      </c>
    </row>
    <row r="31" spans="2:6">
      <c r="B31" s="29" t="s">
        <v>86</v>
      </c>
      <c r="C31" s="21">
        <f t="shared" si="3"/>
        <v>3728412.2803883711</v>
      </c>
      <c r="D31" s="21">
        <f>'Testing Grid'!E10</f>
        <v>1400000</v>
      </c>
      <c r="E31" s="21">
        <f>C31*'Testing Grid'!G10</f>
        <v>231161.56138407902</v>
      </c>
      <c r="F31" s="21">
        <f t="shared" si="2"/>
        <v>2559573.8417724501</v>
      </c>
    </row>
    <row r="32" spans="2:6">
      <c r="B32" s="29" t="s">
        <v>87</v>
      </c>
      <c r="C32" s="21">
        <f t="shared" si="3"/>
        <v>2559573.8417724501</v>
      </c>
      <c r="D32" s="21">
        <f>'Testing Grid'!E10</f>
        <v>1400000</v>
      </c>
      <c r="E32" s="21">
        <f>C32*'Testing Grid'!G10</f>
        <v>158693.57818989191</v>
      </c>
      <c r="F32" s="21">
        <f t="shared" si="2"/>
        <v>1318267.4199623421</v>
      </c>
    </row>
    <row r="33" spans="2:6">
      <c r="B33" s="29" t="s">
        <v>88</v>
      </c>
      <c r="C33" s="21">
        <f t="shared" si="3"/>
        <v>1318267.4199623421</v>
      </c>
      <c r="D33" s="21">
        <f>'Testing Grid'!E10</f>
        <v>1400000</v>
      </c>
      <c r="E33" s="21">
        <f>C33*'Testing Grid'!G10</f>
        <v>81732.580037665219</v>
      </c>
      <c r="F33" s="21">
        <f t="shared" si="2"/>
        <v>7.3487171903252602E-9</v>
      </c>
    </row>
    <row r="35" spans="2:6">
      <c r="B35" s="3" t="s">
        <v>91</v>
      </c>
      <c r="D35" s="32">
        <f>PV('Testing Grid'!G10, 10, -'Testing Grid'!E10)</f>
        <v>10207184.59094396</v>
      </c>
    </row>
    <row r="47" spans="2:6">
      <c r="D47">
        <f>PV('Testing Grid'!G11, 'Testing Grid'!D11, -'Testing Grid'!E11)</f>
        <v>1869295.7609480368</v>
      </c>
    </row>
    <row r="59" spans="4:4">
      <c r="D59">
        <f>PV('Testing Grid'!G12, 'Testing Grid'!D12, -'Testing Grid'!E12)</f>
        <v>917679.99627567548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3"/>
  <sheetViews>
    <sheetView showGridLines="0" workbookViewId="0"/>
  </sheetViews>
  <sheetFormatPr defaultRowHeight="14.45"/>
  <cols>
    <col min="1" max="1" width="12" customWidth="1"/>
    <col min="2" max="3" width="42" customWidth="1"/>
    <col min="4" max="4" width="15" customWidth="1"/>
    <col min="5" max="6" width="14" customWidth="1"/>
  </cols>
  <sheetData>
    <row r="1" spans="2:6" ht="26.1">
      <c r="B1" s="34" t="s">
        <v>0</v>
      </c>
    </row>
    <row r="4" spans="2:6" ht="21">
      <c r="B4" s="1" t="s">
        <v>92</v>
      </c>
    </row>
    <row r="5" spans="2:6">
      <c r="B5" s="2" t="s">
        <v>93</v>
      </c>
    </row>
    <row r="7" spans="2:6">
      <c r="B7" s="28" t="s">
        <v>94</v>
      </c>
      <c r="C7" s="28" t="s">
        <v>95</v>
      </c>
      <c r="D7" s="28" t="s">
        <v>96</v>
      </c>
      <c r="E7" s="28" t="s">
        <v>97</v>
      </c>
      <c r="F7" s="28" t="s">
        <v>98</v>
      </c>
    </row>
    <row r="8" spans="2:6">
      <c r="B8" s="33" t="s">
        <v>99</v>
      </c>
      <c r="C8" s="8" t="s">
        <v>100</v>
      </c>
      <c r="D8" s="8" t="s">
        <v>101</v>
      </c>
      <c r="E8" s="10">
        <v>845000</v>
      </c>
      <c r="F8" s="10">
        <v>0</v>
      </c>
    </row>
    <row r="9" spans="2:6">
      <c r="B9" s="33" t="s">
        <v>99</v>
      </c>
      <c r="C9" s="8" t="s">
        <v>102</v>
      </c>
      <c r="D9" s="8" t="s">
        <v>103</v>
      </c>
      <c r="E9" s="10">
        <v>0</v>
      </c>
      <c r="F9" s="10">
        <v>845000</v>
      </c>
    </row>
    <row r="10" spans="2:6">
      <c r="B10" s="3" t="s">
        <v>104</v>
      </c>
      <c r="E10" s="15">
        <f>SUM(E8:E9)</f>
        <v>845000</v>
      </c>
      <c r="F10" s="15">
        <f>SUM(F8:F9)</f>
        <v>845000</v>
      </c>
    </row>
    <row r="12" spans="2:6">
      <c r="B12" s="3" t="s">
        <v>105</v>
      </c>
    </row>
    <row r="13" spans="2:6">
      <c r="B13" s="4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2026-09-23T05:29:49Z</dcterms:created>
  <dcterms:modified xsi:type="dcterms:W3CDTF">2026-10-18T07:09:25Z</dcterms:modified>
  <cp:category/>
  <cp:contentStatus/>
</cp:coreProperties>
</file>