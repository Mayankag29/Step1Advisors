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kshtj\Documents\Step1 Advisors\"/>
    </mc:Choice>
  </mc:AlternateContent>
  <xr:revisionPtr revIDLastSave="0" documentId="8_{6D9B6582-3869-48D7-A67E-80BA017691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 Summary &amp; Memo" sheetId="1" r:id="rId1"/>
    <sheet name="General" sheetId="3" r:id="rId2"/>
    <sheet name="Cutoff Testing W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D19" i="1" s="1"/>
  <c r="G12" i="2"/>
  <c r="D18" i="1" s="1"/>
  <c r="E20" i="1"/>
  <c r="C20" i="1"/>
  <c r="D20" i="1" l="1"/>
</calcChain>
</file>

<file path=xl/sharedStrings.xml><?xml version="1.0" encoding="utf-8"?>
<sst xmlns="http://schemas.openxmlformats.org/spreadsheetml/2006/main" count="174" uniqueCount="133">
  <si>
    <t>For reference only - Data does not pertain to specific client</t>
  </si>
  <si>
    <t xml:space="preserve">AUDIT WORKPAPER: REVENUE CUTOFF REVIEW </t>
  </si>
  <si>
    <t>Client Name:</t>
  </si>
  <si>
    <r>
      <t xml:space="preserve">Apex Global Technologies Ltd. </t>
    </r>
    <r>
      <rPr>
        <b/>
        <sz val="10"/>
        <rFont val="Calibri"/>
        <family val="2"/>
      </rPr>
      <t>(Fictional name)</t>
    </r>
  </si>
  <si>
    <t>Financial Year Ended:</t>
  </si>
  <si>
    <t>December 31, 2025</t>
  </si>
  <si>
    <t>Audit Area:</t>
  </si>
  <si>
    <t>Revenue Cutoff Testing (10 Days Pre / 10 Days Post Year-End)</t>
  </si>
  <si>
    <t>Prepared By (Associate):</t>
  </si>
  <si>
    <t>CPA (Associate) - Date: Jan 14, 2026</t>
  </si>
  <si>
    <t>Reviewed By (Manager):</t>
  </si>
  <si>
    <t>CA (Audit Manager) - Date: Jan 18, 2026</t>
  </si>
  <si>
    <t>1. Audit Objective &amp; Scope</t>
  </si>
  <si>
    <t>Evaluate the cut-off, completeness and occurrence of revenue recognized around year-end (Dec 20, 2025 – Jan 10, 2026). Testing focuses on verifying whether title and risk transferred in accordance with stated Incoterms prior to midnight on Dec 31, 2025.</t>
  </si>
  <si>
    <t>2. Testing Results Summary</t>
  </si>
  <si>
    <t>Category</t>
  </si>
  <si>
    <t>Sample Count</t>
  </si>
  <si>
    <t>Tested Value ($)</t>
  </si>
  <si>
    <t>Errors Found</t>
  </si>
  <si>
    <t>Impact on 2025 Revenue</t>
  </si>
  <si>
    <t>Pre Year-End Cutoff (Dec 20 - Dec 31)</t>
  </si>
  <si>
    <t>Overstated by $120,000</t>
  </si>
  <si>
    <t>Post Year-End Cutoff (Jan 1 - Jan 10)</t>
  </si>
  <si>
    <t>Understated by $64,000</t>
  </si>
  <si>
    <t>Total Tested</t>
  </si>
  <si>
    <t>Net Overstatement: $56,000</t>
  </si>
  <si>
    <t>3. Audit Manager Review Notes &amp; Coaching Points</t>
  </si>
  <si>
    <t>Review Note #1 (Technical Incoterms):</t>
  </si>
  <si>
    <t>Great job catching Inv #1052 ($120k) where FOB Destination goods were shipped Dec 28 but delivered Jan 2. Revenue belongs in FY26. Ensure we verify if client already posted a manual cutoff reversal.</t>
  </si>
  <si>
    <t>Review Note #2 (Evidence Quality):</t>
  </si>
  <si>
    <t>For Sample #1058, you noted 'shipped Dec 31'. Please ensure the file includes a signed carrier Bill of Lading (BOL), not just an internal dispatch note.</t>
  </si>
  <si>
    <t>Review Note #3 (Proposed Audit Adjustment):</t>
  </si>
  <si>
    <t>Net misstatement of $56,000 is below overall performance materiality ($150,000), but above posted threshold ($10,000). Passed to the Summary of Uncorrected Misstatements (SUM).</t>
  </si>
  <si>
    <t>Purpose of the testing</t>
  </si>
  <si>
    <r>
      <t>Objective:</t>
    </r>
    <r>
      <rPr>
        <sz val="10"/>
        <color theme="1"/>
        <rFont val="Arial"/>
        <family val="2"/>
      </rPr>
      <t xml:space="preserve"> To obtain sufficient appropriate audit evidence that revenue is recognized in the correct accounting period in accordance with </t>
    </r>
    <r>
      <rPr>
        <b/>
        <sz val="10"/>
        <color theme="1"/>
        <rFont val="Arial"/>
        <family val="2"/>
      </rPr>
      <t>IFRS 15 / ASC 606</t>
    </r>
    <r>
      <rPr>
        <sz val="10"/>
        <color theme="1"/>
        <rFont val="Arial"/>
        <family val="2"/>
      </rPr>
      <t xml:space="preserve"> (transfer of control principle). Testing verifies whether performance obligations were satisfied prior to midnight on </t>
    </r>
    <r>
      <rPr>
        <b/>
        <sz val="10"/>
        <color theme="1"/>
        <rFont val="Arial"/>
        <family val="2"/>
      </rPr>
      <t>December 31, 2025</t>
    </r>
    <r>
      <rPr>
        <sz val="10"/>
        <color theme="1"/>
        <rFont val="Arial"/>
        <family val="2"/>
      </rPr>
      <t>, or if revenue was improperly accelerated from FY2026 or deferred from FY2025</t>
    </r>
  </si>
  <si>
    <t>Assertion</t>
  </si>
  <si>
    <t>Audit Focus &amp; Test Objective</t>
  </si>
  <si>
    <t>Cutoff (Primary)</t>
  </si>
  <si>
    <t>Revenue transactions are recorded in the accounting period in which control of goods/services was transferred to the customer.</t>
  </si>
  <si>
    <t>Occurrence</t>
  </si>
  <si>
    <t>Revenue recognized in FY2025 represents valid shipments made on or before December 31, 2025 (testing for overstatement).</t>
  </si>
  <si>
    <t>Completeness</t>
  </si>
  <si>
    <t>All goods shipped on or before December 31, 2025 under FOB Shipping Point terms are included in FY2025 revenue (testing for understatement).</t>
  </si>
  <si>
    <t>Population &amp; Coverage</t>
  </si>
  <si>
    <r>
      <t>Testing Window:</t>
    </r>
    <r>
      <rPr>
        <sz val="10"/>
        <color theme="1"/>
        <rFont val="Arial"/>
        <family val="2"/>
      </rPr>
      <t xml:space="preserve"> December 20, 2025 – January 10, 2026 (10 days pre and post year end)</t>
    </r>
  </si>
  <si>
    <r>
      <t>Total Window Population:</t>
    </r>
    <r>
      <rPr>
        <sz val="10"/>
        <color theme="1"/>
        <rFont val="Arial"/>
        <family val="2"/>
      </rPr>
      <t xml:space="preserve"> 142 Transactions | Total Value: </t>
    </r>
    <r>
      <rPr>
        <b/>
        <sz val="10"/>
        <color theme="1"/>
        <rFont val="Arial"/>
        <family val="2"/>
      </rPr>
      <t>$4,850,000</t>
    </r>
  </si>
  <si>
    <r>
      <t>Pre Year-End Population (Dec 20 – Dec 31):</t>
    </r>
    <r>
      <rPr>
        <sz val="10"/>
        <color theme="1"/>
        <rFont val="Arial"/>
        <family val="2"/>
      </rPr>
      <t xml:space="preserve"> 85 items | $2,900,000</t>
    </r>
  </si>
  <si>
    <r>
      <t>Post Year-End Population (Jan 1 – Jan 10):</t>
    </r>
    <r>
      <rPr>
        <sz val="10"/>
        <color theme="1"/>
        <rFont val="Arial"/>
        <family val="2"/>
      </rPr>
      <t xml:space="preserve"> 57 items | $1,950,000</t>
    </r>
  </si>
  <si>
    <r>
      <t>Tested Sample Value:</t>
    </r>
    <r>
      <rPr>
        <sz val="10"/>
        <color theme="1"/>
        <rFont val="Arial"/>
        <family val="2"/>
      </rPr>
      <t xml:space="preserve"> 7 Items | Total Value: </t>
    </r>
    <r>
      <rPr>
        <b/>
        <sz val="10"/>
        <color theme="1"/>
        <rFont val="Arial"/>
        <family val="2"/>
      </rPr>
      <t>$478,600</t>
    </r>
    <r>
      <rPr>
        <sz val="10"/>
        <color theme="1"/>
        <rFont val="Arial"/>
        <family val="2"/>
      </rPr>
      <t xml:space="preserve"> (~10.0% coverage of cutoff window; 100% coverage of individual items $&gt; \$60,000$ in the cutoff window).</t>
    </r>
  </si>
  <si>
    <t>Sampling Methodology</t>
  </si>
  <si>
    <r>
      <t>Sampling Type: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Targeted High-Value &amp; Risk-Based Selection</t>
    </r>
    <r>
      <rPr>
        <sz val="10"/>
        <color theme="1"/>
        <rFont val="Arial"/>
        <family val="2"/>
      </rPr>
      <t xml:space="preserve"> (Non-Statistical)</t>
    </r>
  </si>
  <si>
    <t>Selection Criteria:</t>
  </si>
  <si>
    <r>
      <t>1. Key Item Threshold:</t>
    </r>
    <r>
      <rPr>
        <sz val="10"/>
        <color theme="1"/>
        <rFont val="Arial"/>
        <family val="2"/>
      </rPr>
      <t xml:space="preserve"> 100% testing of all single transactions exceeding </t>
    </r>
    <r>
      <rPr>
        <b/>
        <sz val="10"/>
        <color theme="1"/>
        <rFont val="Arial"/>
        <family val="2"/>
      </rPr>
      <t>$60,000</t>
    </r>
    <r>
      <rPr>
        <sz val="10"/>
        <color theme="1"/>
        <rFont val="Arial"/>
        <family val="2"/>
      </rPr>
      <t xml:space="preserve"> posted within 3 days before/after year-end (Dec 29 – Jan 3).</t>
    </r>
  </si>
  <si>
    <r>
      <t>2. High-Risk Items:</t>
    </r>
    <r>
      <rPr>
        <sz val="10"/>
        <color theme="1"/>
        <rFont val="Arial"/>
        <family val="2"/>
      </rPr>
      <t xml:space="preserve"> Targeted testing of manually posted revenue vouchers, year-end manual adjustments, and transactions with shipping dates close to midnight on December 31.</t>
    </r>
  </si>
  <si>
    <r>
      <t>3. Representative Sampling:</t>
    </r>
    <r>
      <rPr>
        <sz val="10"/>
        <color theme="1"/>
        <rFont val="Arial"/>
        <family val="2"/>
      </rPr>
      <t xml:space="preserve"> Haphazard selection of routine transactions across remaining days in the 10-day window to ensure full period coverage.</t>
    </r>
  </si>
  <si>
    <t>Audit Procedures Performed</t>
  </si>
  <si>
    <r>
      <t>1. Population Extraction:</t>
    </r>
    <r>
      <rPr>
        <sz val="10"/>
        <color theme="1"/>
        <rFont val="Arial"/>
        <family val="2"/>
      </rPr>
      <t xml:space="preserve"> Obtained the complete General Ledger revenue sub-ledger extract for 10 calendar days prior to year-end (Dec 20 – Dec 31, 2025) and 10 calendar days post year-end (Jan 1 – Jan 10, 2026).</t>
    </r>
  </si>
  <si>
    <r>
      <t>2. Reconciliation:</t>
    </r>
    <r>
      <rPr>
        <sz val="10"/>
        <color theme="1"/>
        <rFont val="Arial"/>
        <family val="2"/>
      </rPr>
      <t xml:space="preserve"> Reconciled population totals to the General Ledger control account (#4000 - Revenue) to ensure completeness of the testing population.</t>
    </r>
  </si>
  <si>
    <r>
      <t>3. Sample Selection:</t>
    </r>
    <r>
      <rPr>
        <sz val="10"/>
        <color theme="1"/>
        <rFont val="Arial"/>
        <family val="2"/>
      </rPr>
      <t xml:space="preserve"> Selected sample transactions based on high-value threshold and risk-targeted sampling .</t>
    </r>
  </si>
  <si>
    <r>
      <t>4. Vouching &amp; Document Inspection:</t>
    </r>
    <r>
      <rPr>
        <sz val="10"/>
        <color theme="1"/>
        <rFont val="Arial"/>
        <family val="2"/>
      </rPr>
      <t xml:space="preserve"> Vouched each sample item to Sales Invoices, Customer Purchase Orders, Internal Dispatch Notes, and external </t>
    </r>
    <r>
      <rPr>
        <b/>
        <sz val="10"/>
        <color theme="1"/>
        <rFont val="Arial"/>
        <family val="2"/>
      </rPr>
      <t>3rd-Party Signed Bills of Lading (BOL)</t>
    </r>
    <r>
      <rPr>
        <sz val="10"/>
        <color theme="1"/>
        <rFont val="Arial"/>
        <family val="2"/>
      </rPr>
      <t xml:space="preserve"> or Delivery Receipts.</t>
    </r>
  </si>
  <si>
    <r>
      <t>5. Incoterms Verification:</t>
    </r>
    <r>
      <rPr>
        <sz val="10"/>
        <color theme="1"/>
        <rFont val="Arial"/>
        <family val="2"/>
      </rPr>
      <t xml:space="preserve"> Analyzed sales contract terms to establish exact transfer of risk and title:</t>
    </r>
  </si>
  <si>
    <r>
      <t>FOB Shipping Point:</t>
    </r>
    <r>
      <rPr>
        <sz val="10"/>
        <color theme="1"/>
        <rFont val="Arial"/>
        <family val="2"/>
      </rPr>
      <t xml:space="preserve"> Control transfers when goods are handed over to the carrier.</t>
    </r>
  </si>
  <si>
    <r>
      <t>FOB Destination:</t>
    </r>
    <r>
      <rPr>
        <sz val="10"/>
        <color theme="1"/>
        <rFont val="Arial"/>
        <family val="2"/>
      </rPr>
      <t xml:space="preserve"> Control transfers when goods arrive at the customer's specified location.</t>
    </r>
  </si>
  <si>
    <r>
      <t>6. Cutoff Assessment &amp; Error Quantification:</t>
    </r>
    <r>
      <rPr>
        <sz val="10"/>
        <color theme="1"/>
        <rFont val="Arial"/>
        <family val="2"/>
      </rPr>
      <t xml:space="preserve"> Evaluated whether GL posting date matched the physical/legal transfer date. Identified misstatements and formulated proposed Audit Adjustments (AJEs).</t>
    </r>
  </si>
  <si>
    <t>DETAILED REVENUE CUTOFF TESTING SCHEDULE</t>
  </si>
  <si>
    <t>Sample ID</t>
  </si>
  <si>
    <t>Period</t>
  </si>
  <si>
    <t>Inv #</t>
  </si>
  <si>
    <t>Inv Date</t>
  </si>
  <si>
    <t>Customer Name</t>
  </si>
  <si>
    <t>Amount ($)</t>
  </si>
  <si>
    <t>Ship Date</t>
  </si>
  <si>
    <t>Incoterms</t>
  </si>
  <si>
    <t>Delivery Date</t>
  </si>
  <si>
    <t>GL Post Date</t>
  </si>
  <si>
    <t>Correct Cutoff?</t>
  </si>
  <si>
    <t>Associate Testing Conclusion</t>
  </si>
  <si>
    <t>Manager Review Notes &amp; Coaching</t>
  </si>
  <si>
    <t>Action / Status</t>
  </si>
  <si>
    <t>CUT-01</t>
  </si>
  <si>
    <t>Pre-YE</t>
  </si>
  <si>
    <t>1041</t>
  </si>
  <si>
    <t>2025-12-20</t>
  </si>
  <si>
    <t>Acme Corp</t>
  </si>
  <si>
    <t>FOB Shipping Point</t>
  </si>
  <si>
    <t>2025-12-23</t>
  </si>
  <si>
    <t>YES</t>
  </si>
  <si>
    <t>Agreed to BOL #8841. Shipped before YE under FOB Shipping Point.</t>
  </si>
  <si>
    <t>Evidence complete. Clean sample.</t>
  </si>
  <si>
    <t>Closed</t>
  </si>
  <si>
    <t>CUT-02</t>
  </si>
  <si>
    <t>1052</t>
  </si>
  <si>
    <t>2025-12-28</t>
  </si>
  <si>
    <t>Zenith Systems</t>
  </si>
  <si>
    <t>FOB Destination</t>
  </si>
  <si>
    <t>2026-01-02</t>
  </si>
  <si>
    <t>NO</t>
  </si>
  <si>
    <t>Delivered Jan 2, 2026. Per FOB Destination terms, title passed in 2026. 2025 Revenue overstated.</t>
  </si>
  <si>
    <t>Good pickup on Incoterms! Verify if client prepared cutoff AJE.</t>
  </si>
  <si>
    <t>AJE #1 Proposed</t>
  </si>
  <si>
    <t>CUT-03</t>
  </si>
  <si>
    <t>1058</t>
  </si>
  <si>
    <t>2025-12-31</t>
  </si>
  <si>
    <t>Global Logistics</t>
  </si>
  <si>
    <t>2026-01-03</t>
  </si>
  <si>
    <t>Shipped Dec 31. Title passed at shipping point prior to midnight.</t>
  </si>
  <si>
    <t>Obtain signed third-party BOL to confirm actual pickup time.</t>
  </si>
  <si>
    <t>Pending BOL</t>
  </si>
  <si>
    <t>CUT-04</t>
  </si>
  <si>
    <t>1060</t>
  </si>
  <si>
    <t>Vanguard Ind.</t>
  </si>
  <si>
    <t>Vouched to BOL #8902 dated Dec 31.</t>
  </si>
  <si>
    <t>Clean.</t>
  </si>
  <si>
    <t>Subtotal Pre Year-End</t>
  </si>
  <si>
    <t>CUT-05</t>
  </si>
  <si>
    <t>Post-YE</t>
  </si>
  <si>
    <t>1062</t>
  </si>
  <si>
    <t>Orion Tech</t>
  </si>
  <si>
    <t>2025-12-30</t>
  </si>
  <si>
    <t>Goods shipped Dec 30, 2025 under FOB Shipping Point, but recorded in Jan 2026. 2025 Revenue understated.</t>
  </si>
  <si>
    <t>Correct. Unrecorded revenue in FY25. Added to misstatement schedule.</t>
  </si>
  <si>
    <t>AJE #2 Proposed</t>
  </si>
  <si>
    <t>CUT-06</t>
  </si>
  <si>
    <t>1068</t>
  </si>
  <si>
    <t>2026-01-05</t>
  </si>
  <si>
    <t>Nexus Retail</t>
  </si>
  <si>
    <t>2026-01-08</t>
  </si>
  <si>
    <t>Shipped and delivered in 2026. Properly recorded in 2026.</t>
  </si>
  <si>
    <t>CUT-07</t>
  </si>
  <si>
    <t>1071</t>
  </si>
  <si>
    <t>Summit Partners</t>
  </si>
  <si>
    <t>All dates fall into 2026. Correct cutoff.</t>
  </si>
  <si>
    <t>Subtotal Post Year-End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</si>
</sst>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6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0"/>
      <name val="Calibri"/>
    </font>
    <font>
      <sz val="10"/>
      <name val="Calibri"/>
    </font>
    <font>
      <b/>
      <sz val="12"/>
      <color rgb="FF1F4E79"/>
      <name val="Calibri"/>
    </font>
    <font>
      <b/>
      <sz val="10"/>
      <color rgb="FFFFFFFF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b/>
      <sz val="20"/>
      <color rgb="FFFF0000"/>
      <name val="Calibri"/>
      <family val="2"/>
      <scheme val="minor"/>
    </font>
    <font>
      <b/>
      <sz val="16"/>
      <color rgb="FF1F4E79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u/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DCDB"/>
        <bgColor rgb="FFF2DCDB"/>
      </patternFill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/>
    </xf>
    <xf numFmtId="164" fontId="2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1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/>
    </xf>
    <xf numFmtId="0" fontId="13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3" fillId="3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showGridLines="0" tabSelected="1" workbookViewId="0">
      <selection activeCell="D10" sqref="D10"/>
    </sheetView>
  </sheetViews>
  <sheetFormatPr defaultRowHeight="14.45"/>
  <cols>
    <col min="1" max="1" width="12" customWidth="1"/>
    <col min="2" max="3" width="45" customWidth="1"/>
    <col min="4" max="4" width="27" customWidth="1"/>
    <col min="5" max="5" width="16" customWidth="1"/>
    <col min="6" max="6" width="29" customWidth="1"/>
  </cols>
  <sheetData>
    <row r="1" spans="2:3" ht="26.1">
      <c r="B1" s="19" t="s">
        <v>0</v>
      </c>
    </row>
    <row r="5" spans="2:3" ht="21">
      <c r="B5" s="20" t="s">
        <v>1</v>
      </c>
    </row>
    <row r="7" spans="2:3">
      <c r="B7" s="2" t="s">
        <v>2</v>
      </c>
      <c r="C7" s="30" t="s">
        <v>3</v>
      </c>
    </row>
    <row r="8" spans="2:3">
      <c r="B8" s="2" t="s">
        <v>4</v>
      </c>
      <c r="C8" s="3" t="s">
        <v>5</v>
      </c>
    </row>
    <row r="9" spans="2:3">
      <c r="B9" s="2" t="s">
        <v>6</v>
      </c>
      <c r="C9" s="3" t="s">
        <v>7</v>
      </c>
    </row>
    <row r="10" spans="2:3">
      <c r="B10" s="2" t="s">
        <v>8</v>
      </c>
      <c r="C10" s="3" t="s">
        <v>9</v>
      </c>
    </row>
    <row r="11" spans="2:3">
      <c r="B11" s="2" t="s">
        <v>10</v>
      </c>
      <c r="C11" s="3" t="s">
        <v>11</v>
      </c>
    </row>
    <row r="13" spans="2:3" ht="15.6">
      <c r="B13" s="4" t="s">
        <v>12</v>
      </c>
    </row>
    <row r="14" spans="2:3">
      <c r="B14" s="30" t="s">
        <v>13</v>
      </c>
    </row>
    <row r="16" spans="2:3" ht="15.6">
      <c r="B16" s="4" t="s">
        <v>14</v>
      </c>
    </row>
    <row r="17" spans="2:6"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</row>
    <row r="18" spans="2:6">
      <c r="B18" s="6" t="s">
        <v>20</v>
      </c>
      <c r="C18" s="7">
        <v>4</v>
      </c>
      <c r="D18" s="8">
        <f>'Cutoff Testing WP'!G12</f>
        <v>287500</v>
      </c>
      <c r="E18" s="7">
        <v>1</v>
      </c>
      <c r="F18" s="6" t="s">
        <v>21</v>
      </c>
    </row>
    <row r="19" spans="2:6">
      <c r="B19" s="6" t="s">
        <v>22</v>
      </c>
      <c r="C19" s="7">
        <v>3</v>
      </c>
      <c r="D19" s="8">
        <f>'Cutoff Testing WP'!G17</f>
        <v>95000</v>
      </c>
      <c r="E19" s="7">
        <v>1</v>
      </c>
      <c r="F19" s="6" t="s">
        <v>23</v>
      </c>
    </row>
    <row r="20" spans="2:6">
      <c r="B20" s="9" t="s">
        <v>24</v>
      </c>
      <c r="C20" s="10">
        <f>SUM(C18:C19)</f>
        <v>7</v>
      </c>
      <c r="D20" s="11">
        <f>SUM(D18:D19)</f>
        <v>382500</v>
      </c>
      <c r="E20" s="10">
        <f>SUM(E18:E19)</f>
        <v>2</v>
      </c>
      <c r="F20" s="9" t="s">
        <v>25</v>
      </c>
    </row>
    <row r="22" spans="2:6" ht="15.6">
      <c r="B22" s="4" t="s">
        <v>26</v>
      </c>
    </row>
    <row r="23" spans="2:6">
      <c r="B23" s="2" t="s">
        <v>27</v>
      </c>
    </row>
    <row r="24" spans="2:6">
      <c r="B24" s="44" t="s">
        <v>28</v>
      </c>
      <c r="C24" s="45"/>
      <c r="D24" s="45"/>
      <c r="E24" s="45"/>
      <c r="F24" s="45"/>
    </row>
    <row r="26" spans="2:6">
      <c r="B26" s="2" t="s">
        <v>29</v>
      </c>
    </row>
    <row r="27" spans="2:6">
      <c r="B27" s="44" t="s">
        <v>30</v>
      </c>
      <c r="C27" s="45"/>
      <c r="D27" s="45"/>
      <c r="E27" s="45"/>
      <c r="F27" s="45"/>
    </row>
    <row r="29" spans="2:6">
      <c r="B29" s="2" t="s">
        <v>31</v>
      </c>
    </row>
    <row r="30" spans="2:6">
      <c r="B30" s="44" t="s">
        <v>32</v>
      </c>
      <c r="C30" s="45"/>
      <c r="D30" s="45"/>
      <c r="E30" s="45"/>
      <c r="F30" s="45"/>
    </row>
  </sheetData>
  <mergeCells count="3">
    <mergeCell ref="B24:F24"/>
    <mergeCell ref="B30:F30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53A7-F257-438C-818C-501098F31533}">
  <dimension ref="A1:K45"/>
  <sheetViews>
    <sheetView showGridLines="0" workbookViewId="0"/>
  </sheetViews>
  <sheetFormatPr defaultColWidth="8.7109375" defaultRowHeight="12.6"/>
  <cols>
    <col min="1" max="1" width="19.140625" style="24" bestFit="1" customWidth="1"/>
    <col min="2" max="16384" width="8.7109375" style="24"/>
  </cols>
  <sheetData>
    <row r="1" spans="1:11" customFormat="1" ht="26.1">
      <c r="B1" s="19" t="s">
        <v>0</v>
      </c>
    </row>
    <row r="2" spans="1:11" customFormat="1" ht="14.45"/>
    <row r="5" spans="1:11" ht="20.100000000000001">
      <c r="A5" s="32" t="s">
        <v>33</v>
      </c>
    </row>
    <row r="6" spans="1:11" ht="14.45" customHeight="1">
      <c r="A6" s="33" t="s">
        <v>34</v>
      </c>
      <c r="B6" s="34"/>
      <c r="C6" s="34"/>
      <c r="D6" s="34"/>
      <c r="E6" s="34"/>
      <c r="F6" s="34"/>
      <c r="G6" s="34"/>
      <c r="H6" s="34"/>
      <c r="I6" s="34"/>
      <c r="J6" s="34"/>
      <c r="K6" s="35"/>
    </row>
    <row r="7" spans="1:11">
      <c r="A7" s="36"/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>
      <c r="A8" s="36"/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>
      <c r="A9" s="36"/>
      <c r="B9" s="37"/>
      <c r="C9" s="37"/>
      <c r="D9" s="37"/>
      <c r="E9" s="37"/>
      <c r="F9" s="37"/>
      <c r="G9" s="37"/>
      <c r="H9" s="37"/>
      <c r="I9" s="37"/>
      <c r="J9" s="37"/>
      <c r="K9" s="38"/>
    </row>
    <row r="10" spans="1:11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1"/>
    </row>
    <row r="11" spans="1:11" ht="12.9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ht="12.95">
      <c r="A12" s="21" t="s">
        <v>35</v>
      </c>
      <c r="B12" s="42" t="s">
        <v>36</v>
      </c>
      <c r="C12" s="42"/>
      <c r="D12" s="42"/>
      <c r="E12" s="42"/>
      <c r="F12" s="42"/>
      <c r="G12" s="42"/>
      <c r="H12" s="26"/>
      <c r="I12" s="26"/>
      <c r="J12" s="26"/>
      <c r="K12" s="26"/>
    </row>
    <row r="13" spans="1:11" ht="48.6" customHeight="1">
      <c r="A13" s="21" t="s">
        <v>37</v>
      </c>
      <c r="B13" s="43" t="s">
        <v>38</v>
      </c>
      <c r="C13" s="43"/>
      <c r="D13" s="43"/>
      <c r="E13" s="43"/>
      <c r="F13" s="43"/>
      <c r="G13" s="43"/>
      <c r="H13" s="26"/>
      <c r="I13" s="26"/>
      <c r="J13" s="26"/>
      <c r="K13" s="26"/>
    </row>
    <row r="14" spans="1:11" ht="48.6" customHeight="1">
      <c r="A14" s="21" t="s">
        <v>39</v>
      </c>
      <c r="B14" s="43" t="s">
        <v>40</v>
      </c>
      <c r="C14" s="43"/>
      <c r="D14" s="43"/>
      <c r="E14" s="43"/>
      <c r="F14" s="43"/>
      <c r="G14" s="43"/>
      <c r="H14" s="26"/>
      <c r="I14" s="26"/>
      <c r="J14" s="26"/>
      <c r="K14" s="26"/>
    </row>
    <row r="15" spans="1:11" ht="45.95" customHeight="1">
      <c r="A15" s="21" t="s">
        <v>41</v>
      </c>
      <c r="B15" s="43" t="s">
        <v>42</v>
      </c>
      <c r="C15" s="43"/>
      <c r="D15" s="43"/>
      <c r="E15" s="43"/>
      <c r="F15" s="43"/>
      <c r="G15" s="43"/>
    </row>
    <row r="18" spans="1:1" ht="20.100000000000001">
      <c r="A18" s="31" t="s">
        <v>43</v>
      </c>
    </row>
    <row r="19" spans="1:1">
      <c r="A19" s="27"/>
    </row>
    <row r="20" spans="1:1" ht="12.95">
      <c r="A20" s="22" t="s">
        <v>44</v>
      </c>
    </row>
    <row r="21" spans="1:1" ht="12.95">
      <c r="A21" s="22"/>
    </row>
    <row r="22" spans="1:1" ht="12.95">
      <c r="A22" s="22" t="s">
        <v>45</v>
      </c>
    </row>
    <row r="23" spans="1:1" ht="12.95">
      <c r="A23" s="23" t="s">
        <v>46</v>
      </c>
    </row>
    <row r="24" spans="1:1" ht="12.95">
      <c r="A24" s="23" t="s">
        <v>47</v>
      </c>
    </row>
    <row r="25" spans="1:1" ht="12.95">
      <c r="A25" s="22" t="s">
        <v>48</v>
      </c>
    </row>
    <row r="28" spans="1:1" ht="20.100000000000001">
      <c r="A28" s="31" t="s">
        <v>49</v>
      </c>
    </row>
    <row r="29" spans="1:1" ht="12.95">
      <c r="A29" s="22" t="s">
        <v>50</v>
      </c>
    </row>
    <row r="30" spans="1:1" ht="12.95">
      <c r="A30" s="22" t="s">
        <v>51</v>
      </c>
    </row>
    <row r="31" spans="1:1" ht="12.95">
      <c r="A31" s="28" t="s">
        <v>52</v>
      </c>
    </row>
    <row r="32" spans="1:1" ht="12.95">
      <c r="A32" s="28" t="s">
        <v>53</v>
      </c>
    </row>
    <row r="33" spans="1:7" ht="12.95">
      <c r="A33" s="28" t="s">
        <v>54</v>
      </c>
    </row>
    <row r="36" spans="1:7" ht="20.100000000000001">
      <c r="A36" s="31" t="s">
        <v>55</v>
      </c>
    </row>
    <row r="37" spans="1:7">
      <c r="A37" s="27"/>
    </row>
    <row r="38" spans="1:7" s="29" customFormat="1" ht="45" customHeight="1">
      <c r="A38" s="37" t="s">
        <v>56</v>
      </c>
      <c r="B38" s="37"/>
      <c r="C38" s="37"/>
      <c r="D38" s="37"/>
      <c r="E38" s="37"/>
      <c r="F38" s="37"/>
      <c r="G38" s="37"/>
    </row>
    <row r="39" spans="1:7" ht="32.450000000000003" customHeight="1">
      <c r="A39" s="37" t="s">
        <v>57</v>
      </c>
      <c r="B39" s="37"/>
      <c r="C39" s="37"/>
      <c r="D39" s="37"/>
      <c r="E39" s="37"/>
      <c r="F39" s="37"/>
      <c r="G39" s="37"/>
    </row>
    <row r="40" spans="1:7" ht="32.1" customHeight="1">
      <c r="A40" s="37" t="s">
        <v>58</v>
      </c>
      <c r="B40" s="37"/>
      <c r="C40" s="37"/>
      <c r="D40" s="37"/>
      <c r="E40" s="37"/>
      <c r="F40" s="37"/>
      <c r="G40" s="37"/>
    </row>
    <row r="41" spans="1:7" ht="45" customHeight="1">
      <c r="A41" s="37" t="s">
        <v>59</v>
      </c>
      <c r="B41" s="37"/>
      <c r="C41" s="37"/>
      <c r="D41" s="37"/>
      <c r="E41" s="37"/>
      <c r="F41" s="37"/>
      <c r="G41" s="37"/>
    </row>
    <row r="42" spans="1:7" ht="29.45" customHeight="1">
      <c r="A42" s="37" t="s">
        <v>60</v>
      </c>
      <c r="B42" s="37"/>
      <c r="C42" s="37"/>
      <c r="D42" s="37"/>
      <c r="E42" s="37"/>
      <c r="F42" s="37"/>
      <c r="G42" s="37"/>
    </row>
    <row r="43" spans="1:7" ht="12.95">
      <c r="A43" s="37" t="s">
        <v>61</v>
      </c>
      <c r="B43" s="37"/>
      <c r="C43" s="37"/>
      <c r="D43" s="37"/>
      <c r="E43" s="37"/>
      <c r="F43" s="37"/>
      <c r="G43" s="37"/>
    </row>
    <row r="44" spans="1:7" ht="33" customHeight="1">
      <c r="A44" s="37" t="s">
        <v>62</v>
      </c>
      <c r="B44" s="37"/>
      <c r="C44" s="37"/>
      <c r="D44" s="37"/>
      <c r="E44" s="37"/>
      <c r="F44" s="37"/>
      <c r="G44" s="37"/>
    </row>
    <row r="45" spans="1:7" ht="45" customHeight="1">
      <c r="A45" s="37" t="s">
        <v>63</v>
      </c>
      <c r="B45" s="37"/>
      <c r="C45" s="37"/>
      <c r="D45" s="37"/>
      <c r="E45" s="37"/>
      <c r="F45" s="37"/>
      <c r="G45" s="37"/>
    </row>
  </sheetData>
  <mergeCells count="13">
    <mergeCell ref="A43:G43"/>
    <mergeCell ref="A44:G44"/>
    <mergeCell ref="A45:G45"/>
    <mergeCell ref="B15:G15"/>
    <mergeCell ref="A38:G38"/>
    <mergeCell ref="A39:G39"/>
    <mergeCell ref="A40:G40"/>
    <mergeCell ref="A41:G41"/>
    <mergeCell ref="A6:K10"/>
    <mergeCell ref="B12:G12"/>
    <mergeCell ref="B13:G13"/>
    <mergeCell ref="B14:G14"/>
    <mergeCell ref="A42:G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7"/>
  <sheetViews>
    <sheetView showGridLines="0" workbookViewId="0">
      <selection sqref="A1:XFD2"/>
    </sheetView>
  </sheetViews>
  <sheetFormatPr defaultRowHeight="14.45"/>
  <cols>
    <col min="1" max="1" width="12" customWidth="1"/>
    <col min="2" max="2" width="43" customWidth="1"/>
    <col min="3" max="4" width="12" customWidth="1"/>
    <col min="5" max="5" width="13" customWidth="1"/>
    <col min="6" max="6" width="19" customWidth="1"/>
    <col min="7" max="7" width="16" customWidth="1"/>
    <col min="8" max="8" width="13" customWidth="1"/>
    <col min="9" max="9" width="21" customWidth="1"/>
    <col min="10" max="10" width="16" customWidth="1"/>
    <col min="11" max="11" width="15" customWidth="1"/>
    <col min="12" max="12" width="18" customWidth="1"/>
    <col min="13" max="14" width="35" customWidth="1"/>
    <col min="15" max="15" width="18" customWidth="1"/>
  </cols>
  <sheetData>
    <row r="1" spans="2:15" ht="26.1">
      <c r="B1" s="19" t="s">
        <v>0</v>
      </c>
    </row>
    <row r="4" spans="2:15" ht="21">
      <c r="B4" s="1" t="s">
        <v>64</v>
      </c>
    </row>
    <row r="7" spans="2:15">
      <c r="B7" s="12" t="s">
        <v>65</v>
      </c>
      <c r="C7" s="12" t="s">
        <v>66</v>
      </c>
      <c r="D7" s="12" t="s">
        <v>67</v>
      </c>
      <c r="E7" s="12" t="s">
        <v>68</v>
      </c>
      <c r="F7" s="12" t="s">
        <v>69</v>
      </c>
      <c r="G7" s="12" t="s">
        <v>70</v>
      </c>
      <c r="H7" s="12" t="s">
        <v>71</v>
      </c>
      <c r="I7" s="12" t="s">
        <v>72</v>
      </c>
      <c r="J7" s="12" t="s">
        <v>73</v>
      </c>
      <c r="K7" s="12" t="s">
        <v>74</v>
      </c>
      <c r="L7" s="12" t="s">
        <v>75</v>
      </c>
      <c r="M7" s="13" t="s">
        <v>76</v>
      </c>
      <c r="N7" s="13" t="s">
        <v>77</v>
      </c>
      <c r="O7" s="13" t="s">
        <v>78</v>
      </c>
    </row>
    <row r="8" spans="2:15">
      <c r="B8" s="7" t="s">
        <v>79</v>
      </c>
      <c r="C8" s="7" t="s">
        <v>80</v>
      </c>
      <c r="D8" s="7" t="s">
        <v>81</v>
      </c>
      <c r="E8" s="7" t="s">
        <v>82</v>
      </c>
      <c r="F8" s="6" t="s">
        <v>83</v>
      </c>
      <c r="G8" s="8">
        <v>45000</v>
      </c>
      <c r="H8" s="7" t="s">
        <v>82</v>
      </c>
      <c r="I8" s="7" t="s">
        <v>84</v>
      </c>
      <c r="J8" s="7" t="s">
        <v>85</v>
      </c>
      <c r="K8" s="7" t="s">
        <v>82</v>
      </c>
      <c r="L8" s="14" t="s">
        <v>86</v>
      </c>
      <c r="M8" s="6" t="s">
        <v>87</v>
      </c>
      <c r="N8" s="15" t="s">
        <v>88</v>
      </c>
      <c r="O8" s="16" t="s">
        <v>89</v>
      </c>
    </row>
    <row r="9" spans="2:15" ht="26.45">
      <c r="B9" s="7" t="s">
        <v>90</v>
      </c>
      <c r="C9" s="7" t="s">
        <v>80</v>
      </c>
      <c r="D9" s="7" t="s">
        <v>91</v>
      </c>
      <c r="E9" s="7" t="s">
        <v>92</v>
      </c>
      <c r="F9" s="6" t="s">
        <v>93</v>
      </c>
      <c r="G9" s="8">
        <v>120000</v>
      </c>
      <c r="H9" s="7" t="s">
        <v>92</v>
      </c>
      <c r="I9" s="7" t="s">
        <v>94</v>
      </c>
      <c r="J9" s="7" t="s">
        <v>95</v>
      </c>
      <c r="K9" s="7" t="s">
        <v>92</v>
      </c>
      <c r="L9" s="17" t="s">
        <v>96</v>
      </c>
      <c r="M9" s="6" t="s">
        <v>97</v>
      </c>
      <c r="N9" s="15" t="s">
        <v>98</v>
      </c>
      <c r="O9" s="16" t="s">
        <v>99</v>
      </c>
    </row>
    <row r="10" spans="2:15" ht="26.45">
      <c r="B10" s="7" t="s">
        <v>100</v>
      </c>
      <c r="C10" s="7" t="s">
        <v>80</v>
      </c>
      <c r="D10" s="7" t="s">
        <v>101</v>
      </c>
      <c r="E10" s="7" t="s">
        <v>102</v>
      </c>
      <c r="F10" s="6" t="s">
        <v>103</v>
      </c>
      <c r="G10" s="8">
        <v>88500</v>
      </c>
      <c r="H10" s="7" t="s">
        <v>102</v>
      </c>
      <c r="I10" s="7" t="s">
        <v>84</v>
      </c>
      <c r="J10" s="7" t="s">
        <v>104</v>
      </c>
      <c r="K10" s="7" t="s">
        <v>102</v>
      </c>
      <c r="L10" s="14" t="s">
        <v>86</v>
      </c>
      <c r="M10" s="6" t="s">
        <v>105</v>
      </c>
      <c r="N10" s="15" t="s">
        <v>106</v>
      </c>
      <c r="O10" s="16" t="s">
        <v>107</v>
      </c>
    </row>
    <row r="11" spans="2:15">
      <c r="B11" s="7" t="s">
        <v>108</v>
      </c>
      <c r="C11" s="7" t="s">
        <v>80</v>
      </c>
      <c r="D11" s="7" t="s">
        <v>109</v>
      </c>
      <c r="E11" s="7" t="s">
        <v>102</v>
      </c>
      <c r="F11" s="6" t="s">
        <v>110</v>
      </c>
      <c r="G11" s="8">
        <v>34000</v>
      </c>
      <c r="H11" s="7" t="s">
        <v>102</v>
      </c>
      <c r="I11" s="7" t="s">
        <v>84</v>
      </c>
      <c r="J11" s="7" t="s">
        <v>95</v>
      </c>
      <c r="K11" s="7" t="s">
        <v>102</v>
      </c>
      <c r="L11" s="14" t="s">
        <v>86</v>
      </c>
      <c r="M11" s="6" t="s">
        <v>111</v>
      </c>
      <c r="N11" s="15" t="s">
        <v>112</v>
      </c>
      <c r="O11" s="16" t="s">
        <v>89</v>
      </c>
    </row>
    <row r="12" spans="2:15">
      <c r="B12" s="2" t="s">
        <v>113</v>
      </c>
      <c r="G12" s="18">
        <f>SUM(G8:G11)</f>
        <v>287500</v>
      </c>
    </row>
    <row r="14" spans="2:15" ht="26.45">
      <c r="B14" s="7" t="s">
        <v>114</v>
      </c>
      <c r="C14" s="7" t="s">
        <v>115</v>
      </c>
      <c r="D14" s="7" t="s">
        <v>116</v>
      </c>
      <c r="E14" s="7" t="s">
        <v>95</v>
      </c>
      <c r="F14" s="6" t="s">
        <v>117</v>
      </c>
      <c r="G14" s="8">
        <v>64000</v>
      </c>
      <c r="H14" s="7" t="s">
        <v>118</v>
      </c>
      <c r="I14" s="7" t="s">
        <v>84</v>
      </c>
      <c r="J14" s="7" t="s">
        <v>95</v>
      </c>
      <c r="K14" s="7" t="s">
        <v>95</v>
      </c>
      <c r="L14" s="17" t="s">
        <v>96</v>
      </c>
      <c r="M14" s="6" t="s">
        <v>119</v>
      </c>
      <c r="N14" s="15" t="s">
        <v>120</v>
      </c>
      <c r="O14" s="16" t="s">
        <v>121</v>
      </c>
    </row>
    <row r="15" spans="2:15">
      <c r="B15" s="7" t="s">
        <v>122</v>
      </c>
      <c r="C15" s="7" t="s">
        <v>115</v>
      </c>
      <c r="D15" s="7" t="s">
        <v>123</v>
      </c>
      <c r="E15" s="7" t="s">
        <v>124</v>
      </c>
      <c r="F15" s="6" t="s">
        <v>125</v>
      </c>
      <c r="G15" s="8">
        <v>32100</v>
      </c>
      <c r="H15" s="7" t="s">
        <v>124</v>
      </c>
      <c r="I15" s="7" t="s">
        <v>94</v>
      </c>
      <c r="J15" s="7" t="s">
        <v>126</v>
      </c>
      <c r="K15" s="7" t="s">
        <v>124</v>
      </c>
      <c r="L15" s="14" t="s">
        <v>86</v>
      </c>
      <c r="M15" s="6" t="s">
        <v>127</v>
      </c>
      <c r="N15" s="15" t="s">
        <v>112</v>
      </c>
      <c r="O15" s="16" t="s">
        <v>89</v>
      </c>
    </row>
    <row r="16" spans="2:15">
      <c r="B16" s="7" t="s">
        <v>128</v>
      </c>
      <c r="C16" s="7" t="s">
        <v>115</v>
      </c>
      <c r="D16" s="7" t="s">
        <v>129</v>
      </c>
      <c r="E16" s="7" t="s">
        <v>126</v>
      </c>
      <c r="F16" s="6" t="s">
        <v>130</v>
      </c>
      <c r="G16" s="8">
        <v>95000</v>
      </c>
      <c r="H16" s="7" t="s">
        <v>126</v>
      </c>
      <c r="I16" s="7" t="s">
        <v>84</v>
      </c>
      <c r="J16" s="7" t="s">
        <v>126</v>
      </c>
      <c r="K16" s="7" t="s">
        <v>126</v>
      </c>
      <c r="L16" s="14" t="s">
        <v>86</v>
      </c>
      <c r="M16" s="6" t="s">
        <v>131</v>
      </c>
      <c r="N16" s="15" t="s">
        <v>112</v>
      </c>
      <c r="O16" s="16" t="s">
        <v>89</v>
      </c>
    </row>
    <row r="17" spans="2:7">
      <c r="B17" s="2" t="s">
        <v>132</v>
      </c>
      <c r="G17" s="18">
        <f>SUM(G16:G16)</f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2026-09-22T08:02:14Z</dcterms:created>
  <dcterms:modified xsi:type="dcterms:W3CDTF">2026-10-18T07:09:36Z</dcterms:modified>
  <cp:category/>
  <cp:contentStatus/>
</cp:coreProperties>
</file>